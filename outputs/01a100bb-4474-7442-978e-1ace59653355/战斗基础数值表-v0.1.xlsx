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9cf5da0c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家技能" sheetId="1" r:id="Rb9c2d028c2a34df7"/>
    <x:sheet xmlns:r="http://schemas.openxmlformats.org/officeDocument/2006/relationships" name="基础规则" sheetId="2" r:id="R3ae425b82c164217"/>
    <x:sheet xmlns:r="http://schemas.openxmlformats.org/officeDocument/2006/relationships" name="连招预算" sheetId="3" r:id="Rfe8ca4e2f19d4f3d"/>
    <x:sheet xmlns:r="http://schemas.openxmlformats.org/officeDocument/2006/relationships" name="敌人与遭遇" sheetId="4" r:id="Ra9bec6c9dd9d4faa"/>
    <x:sheet xmlns:r="http://schemas.openxmlformats.org/officeDocument/2006/relationships" name="战斗道具" sheetId="5" r:id="Ra4bb56b7eb92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0&quot; 倍&quot;"/>
  </x:numFmts>
  <x:fonts count="6">
    <x:font>
      <x:sz val="11"/>
      <x:name val="Carlito"/>
    </x:font>
    <x:font>
      <x:sz val="10"/>
      <x:color rgb="FF202B36"/>
      <x:name val="Microsoft YaHei"/>
    </x:font>
    <x:font>
      <x:b/>
      <x:sz val="15"/>
      <x:color rgb="FF202B36"/>
      <x:name val="Microsoft YaHei"/>
    </x:font>
    <x:font>
      <x:sz val="10"/>
      <x:color rgb="FF526273"/>
      <x:name val="Microsoft YaHei"/>
    </x:font>
    <x:font>
      <x:b/>
      <x:sz val="10"/>
      <x:color rgb="FFFFFFFF"/>
      <x:name val="Microsoft YaHei"/>
    </x:font>
    <x:font>
      <x:b/>
      <x:sz val="10"/>
      <x:color rgb="FF202B36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354C65"/>
      </x:patternFill>
    </x:fill>
    <x:fill>
      <x:patternFill patternType="solid">
        <x:fgColor rgb="FFFFF3D6"/>
      </x:patternFill>
    </x:fill>
    <x:fill>
      <x:patternFill patternType="solid">
        <x:fgColor rgb="FFE5EBF1"/>
      </x:patternFill>
    </x:fill>
    <x:fill>
      <x:patternFill patternType="solid">
        <x:fgColor rgb="FFEDF3F8"/>
      </x:patternFill>
    </x:fill>
  </x:fills>
  <x:borders count="5">
    <x:border/>
    <x:border>
      <x:bottom style="thin">
        <x:color rgb="FFC9D3D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0" fontId="5" fillId="4" borderId="0" xfId="0" applyNumberFormat="1" applyFont="1" applyFill="1" applyBorder="1" applyAlignment="1">
      <x:alignment vertical="center" wrapText="0"/>
    </x:xf>
    <x:xf numFmtId="202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horizontal="right" vertical="center" wrapText="0"/>
    </x:xf>
    <x:xf numFmtId="201" fontId="1" fillId="5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 wrapText="0"/>
    </x:xf>
    <x:xf numFmtId="201" fontId="1" fillId="5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202" fontId="1" fillId="5" borderId="0" xfId="0" applyNumberFormat="1" applyFont="1" applyFill="1" applyBorder="1" applyAlignment="1">
      <x:alignment vertical="center" wrapText="0"/>
    </x:xf>
    <x:xf numFmtId="201" fontId="1" fillId="5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A72920"/>
      </x:font>
      <x:fill>
        <x:patternFill patternType="solid">
          <x:bgColor rgb="FFFC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818106a00419d" /><Relationship Type="http://schemas.openxmlformats.org/officeDocument/2006/relationships/theme" Target="/xl/theme/theme1.xml" Id="Rc6dd654bfa4c49ee" /><Relationship Type="http://schemas.openxmlformats.org/officeDocument/2006/relationships/sharedStrings" Target="/xl/sharedStrings.xml" Id="Rac37a8b4f1074c60" /><Relationship Type="http://schemas.openxmlformats.org/officeDocument/2006/relationships/worksheet" Target="/xl/worksheets/sheet1.xml" Id="Rb9c2d028c2a34df7" /><Relationship Type="http://schemas.openxmlformats.org/officeDocument/2006/relationships/worksheet" Target="/xl/worksheets/sheet2.xml" Id="R3ae425b82c164217" /><Relationship Type="http://schemas.openxmlformats.org/officeDocument/2006/relationships/worksheet" Target="/xl/worksheets/sheet3.xml" Id="Rfe8ca4e2f19d4f3d" /><Relationship Type="http://schemas.openxmlformats.org/officeDocument/2006/relationships/worksheet" Target="/xl/worksheets/sheet4.xml" Id="Ra9bec6c9dd9d4faa" /><Relationship Type="http://schemas.openxmlformats.org/officeDocument/2006/relationships/worksheet" Target="/xl/worksheets/sheet5.xml" Id="Ra4bb56b7eb9245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54C6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.630000114440918" hidden="0" customWidth="1"/>
    <x:col min="2" max="2" width="13.130000114440918" hidden="0" customWidth="1"/>
    <x:col min="3" max="3" width="7.5" hidden="0" customWidth="1"/>
    <x:col min="4" max="4" width="11.25" hidden="0" customWidth="1"/>
    <x:col min="5" max="5" width="6.880000114440918" hidden="0" customWidth="1"/>
    <x:col min="6" max="6" width="9.75" hidden="0" customWidth="1"/>
    <x:col min="7" max="7" width="13.130000114440918" hidden="0" customWidth="1"/>
    <x:col min="8" max="8" width="39.38000106811523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4" t="str">
        <x:v>玩家技能基础数值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5" customHeight="1">
      <x:c r="A4" s="6" t="str">
        <x:v>数值效果均由本次技能独立起卦决定；所有技能无额外冷却，使用次数受 MP 限制。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2" customHeight="1">
      <x:c r="A6" s="11" t="str">
        <x:v>技能 ID</x:v>
      </x:c>
      <x:c r="B6" s="12" t="str">
        <x:v>技能</x:v>
      </x:c>
      <x:c r="C6" s="12" t="str">
        <x:v>六亲</x:v>
      </x:c>
      <x:c r="D6" s="12" t="str">
        <x:v>目标</x:v>
      </x:c>
      <x:c r="E6" s="12" t="str">
        <x:v>MP</x:v>
      </x:c>
      <x:c r="F6" s="12" t="str">
        <x:v>基础数值</x:v>
      </x:c>
      <x:c r="G6" s="12" t="str">
        <x:v>数值类型</x:v>
      </x:c>
      <x:c r="H6" s="12" t="str">
        <x:v>机制</x:v>
      </x:c>
      <x:c r="I6" s="12" t="str">
        <x:v>衰</x:v>
      </x:c>
      <x:c r="J6" s="12" t="str">
        <x:v>弱</x:v>
      </x:c>
      <x:c r="K6" s="12" t="str">
        <x:v>平</x:v>
      </x:c>
      <x:c r="L6" s="12" t="str">
        <x:v>旺</x:v>
      </x:c>
      <x:c r="M6" s="13" t="str">
        <x:v>盛</x:v>
      </x:c>
    </x:row>
    <x:row r="7" ht="56" customHeight="1">
      <x:c r="A7" s="14" t="str">
        <x:v>ATK_BASIC</x:v>
      </x:c>
      <x:c r="B7" s="14" t="str">
        <x:v>普攻</x:v>
      </x:c>
      <x:c r="C7" s="14" t="str">
        <x:v>官鬼</x:v>
      </x:c>
      <x:c r="D7" s="14" t="str">
        <x:v>单个敌人</x:v>
      </x:c>
      <x:c r="E7" s="17" t="n">
        <x:v>3</x:v>
      </x:c>
      <x:c r="F7" s="15" t="n">
        <x:v>7</x:v>
      </x:c>
      <x:c r="G7" s="14" t="str">
        <x:v>直接伤害</x:v>
      </x:c>
      <x:c r="H7" s="14" t="str">
        <x:v>低消耗收尾技能，也需起卦</x:v>
      </x:c>
      <x:c r="I7" s="23" t="n">
        <x:f>ROUND($F7*'基础规则'!$C$16,0)</x:f>
        <x:v>4</x:v>
      </x:c>
      <x:c r="J7" s="23" t="n">
        <x:f>ROUND($F7*'基础规则'!$C$17,0)</x:f>
        <x:v>6</x:v>
      </x:c>
      <x:c r="K7" s="23" t="n">
        <x:f>ROUND($F7*'基础规则'!$C$18,0)</x:f>
        <x:v>7</x:v>
      </x:c>
      <x:c r="L7" s="23" t="n">
        <x:f>ROUND($F7*'基础规则'!$C$19,0)</x:f>
        <x:v>8</x:v>
      </x:c>
      <x:c r="M7" s="23" t="n">
        <x:f>ROUND($F7*'基础规则'!$C$20,0)</x:f>
        <x:v>10</x:v>
      </x:c>
    </x:row>
    <x:row r="8" ht="56" customHeight="1">
      <x:c r="A8" s="14" t="str">
        <x:v>ATK_HEAVY</x:v>
      </x:c>
      <x:c r="B8" s="14" t="str">
        <x:v>破甲重击</x:v>
      </x:c>
      <x:c r="C8" s="14" t="str">
        <x:v>官鬼</x:v>
      </x:c>
      <x:c r="D8" s="14" t="str">
        <x:v>单个敌人</x:v>
      </x:c>
      <x:c r="E8" s="17" t="n">
        <x:v>8</x:v>
      </x:c>
      <x:c r="F8" s="15" t="n">
        <x:v>20</x:v>
      </x:c>
      <x:c r="G8" s="14" t="str">
        <x:v>直接伤害</x:v>
      </x:c>
      <x:c r="H8" s="14" t="str">
        <x:v>得分 ≥ 0：伤害后挂易伤 20%，后续 2 次直接受击；动爻为 3 次</x:v>
      </x:c>
      <x:c r="I8" s="23" t="n">
        <x:f>ROUND($F8*'基础规则'!$C$16,0)</x:f>
        <x:v>12</x:v>
      </x:c>
      <x:c r="J8" s="23" t="n">
        <x:f>ROUND($F8*'基础规则'!$C$17,0)</x:f>
        <x:v>16</x:v>
      </x:c>
      <x:c r="K8" s="23" t="n">
        <x:f>ROUND($F8*'基础规则'!$C$18,0)</x:f>
        <x:v>20</x:v>
      </x:c>
      <x:c r="L8" s="23" t="n">
        <x:f>ROUND($F8*'基础规则'!$C$19,0)</x:f>
        <x:v>24</x:v>
      </x:c>
      <x:c r="M8" s="23" t="n">
        <x:f>ROUND($F8*'基础规则'!$C$20,0)</x:f>
        <x:v>28</x:v>
      </x:c>
    </x:row>
    <x:row r="9" ht="56" customHeight="1">
      <x:c r="A9" s="14" t="str">
        <x:v>ATK_SWEEP</x:v>
      </x:c>
      <x:c r="B9" s="14" t="str">
        <x:v>荡秽横扫</x:v>
      </x:c>
      <x:c r="C9" s="14" t="str">
        <x:v>官鬼</x:v>
      </x:c>
      <x:c r="D9" s="14" t="str">
        <x:v>全部敌人</x:v>
      </x:c>
      <x:c r="E9" s="17" t="n">
        <x:v>12</x:v>
      </x:c>
      <x:c r="F9" s="15" t="n">
        <x:v>14</x:v>
      </x:c>
      <x:c r="G9" s="14" t="str">
        <x:v>直接伤害</x:v>
      </x:c>
      <x:c r="H9" s="14" t="str">
        <x:v>表中数值为每个敌人的伤害，一次技能只起一卦</x:v>
      </x:c>
      <x:c r="I9" s="23" t="n">
        <x:f>ROUND($F9*'基础规则'!$C$16,0)</x:f>
        <x:v>8</x:v>
      </x:c>
      <x:c r="J9" s="23" t="n">
        <x:f>ROUND($F9*'基础规则'!$C$17,0)</x:f>
        <x:v>11</x:v>
      </x:c>
      <x:c r="K9" s="23" t="n">
        <x:f>ROUND($F9*'基础规则'!$C$18,0)</x:f>
        <x:v>14</x:v>
      </x:c>
      <x:c r="L9" s="23" t="n">
        <x:f>ROUND($F9*'基础规则'!$C$19,0)</x:f>
        <x:v>17</x:v>
      </x:c>
      <x:c r="M9" s="23" t="n">
        <x:f>ROUND($F9*'基础规则'!$C$20,0)</x:f>
        <x:v>20</x:v>
      </x:c>
    </x:row>
    <x:row r="10" ht="56" customHeight="1">
      <x:c r="A10" s="14" t="str">
        <x:v>DEF_SHIELD</x:v>
      </x:c>
      <x:c r="B10" s="14" t="str">
        <x:v>护身符阵</x:v>
      </x:c>
      <x:c r="C10" s="14" t="str">
        <x:v>父母</x:v>
      </x:c>
      <x:c r="D10" s="14" t="str">
        <x:v>自身</x:v>
      </x:c>
      <x:c r="E10" s="17" t="n">
        <x:v>6</x:v>
      </x:c>
      <x:c r="F10" s="15" t="n">
        <x:v>18</x:v>
      </x:c>
      <x:c r="G10" s="14" t="str">
        <x:v>护盾</x:v>
      </x:c>
      <x:c r="H10" s="14" t="str">
        <x:v>累加护盾，玩家护盾总量上限 40；下个玩家回合开始清除</x:v>
      </x:c>
      <x:c r="I10" s="23" t="n">
        <x:f>ROUND($F10*'基础规则'!$C$16,0)</x:f>
        <x:v>11</x:v>
      </x:c>
      <x:c r="J10" s="23" t="n">
        <x:f>ROUND($F10*'基础规则'!$C$17,0)</x:f>
        <x:v>14</x:v>
      </x:c>
      <x:c r="K10" s="23" t="n">
        <x:f>ROUND($F10*'基础规则'!$C$18,0)</x:f>
        <x:v>18</x:v>
      </x:c>
      <x:c r="L10" s="23" t="n">
        <x:f>ROUND($F10*'基础规则'!$C$19,0)</x:f>
        <x:v>22</x:v>
      </x:c>
      <x:c r="M10" s="23" t="n">
        <x:f>ROUND($F10*'基础规则'!$C$20,0)</x:f>
        <x:v>25</x:v>
      </x:c>
    </x:row>
    <x:row r="11" ht="56" customHeight="1">
      <x:c r="A11" s="14" t="str">
        <x:v>DEF_GUARD</x:v>
      </x:c>
      <x:c r="B11" s="14" t="str">
        <x:v>固守结界</x:v>
      </x:c>
      <x:c r="C11" s="14" t="str">
        <x:v>父母</x:v>
      </x:c>
      <x:c r="D11" s="14" t="str">
        <x:v>自身</x:v>
      </x:c>
      <x:c r="E11" s="17" t="n">
        <x:v>4</x:v>
      </x:c>
      <x:c r="F11" s="16" t="n">
        <x:v>0.35</x:v>
      </x:c>
      <x:c r="G11" s="14" t="str">
        <x:v>减伤比例</x:v>
      </x:c>
      <x:c r="H11" s="14" t="str">
        <x:v>覆盖接下来整个敌方阶段；同类取最高，总减伤上限 50%</x:v>
      </x:c>
      <x:c r="I11" s="24" t="n">
        <x:f>MIN('基础规则'!$B$12,$F11*'基础规则'!$C$16)</x:f>
        <x:v>0.21</x:v>
      </x:c>
      <x:c r="J11" s="24" t="n">
        <x:f>MIN('基础规则'!$B$12,$F11*'基础规则'!$C$17)</x:f>
        <x:v>0.27999999999999997</x:v>
      </x:c>
      <x:c r="K11" s="24" t="n">
        <x:f>MIN('基础规则'!$B$12,$F11*'基础规则'!$C$18)</x:f>
        <x:v>0.35</x:v>
      </x:c>
      <x:c r="L11" s="24" t="n">
        <x:f>MIN('基础规则'!$B$12,$F11*'基础规则'!$C$19)</x:f>
        <x:v>0.42</x:v>
      </x:c>
      <x:c r="M11" s="24" t="n">
        <x:f>MIN('基础规则'!$B$12,$F11*'基础规则'!$C$20)</x:f>
        <x:v>0.48999999999999994</x:v>
      </x:c>
    </x:row>
    <x:row r="12" ht="56" customHeight="1">
      <x:c r="A12" s="14" t="str">
        <x:v>HEAL_DIRECT</x:v>
      </x:c>
      <x:c r="B12" s="14" t="str">
        <x:v>归元</x:v>
      </x:c>
      <x:c r="C12" s="14" t="str">
        <x:v>妻财</x:v>
      </x:c>
      <x:c r="D12" s="14" t="str">
        <x:v>自身</x:v>
      </x:c>
      <x:c r="E12" s="17" t="n">
        <x:v>8</x:v>
      </x:c>
      <x:c r="F12" s="15" t="n">
        <x:v>24</x:v>
      </x:c>
      <x:c r="G12" s="14" t="str">
        <x:v>即时治疗</x:v>
      </x:c>
      <x:c r="H12" s="14" t="str">
        <x:v>立即恢复 HP，上限为最大 HP</x:v>
      </x:c>
      <x:c r="I12" s="23" t="n">
        <x:f>ROUND($F12*'基础规则'!$C$16,0)</x:f>
        <x:v>14</x:v>
      </x:c>
      <x:c r="J12" s="23" t="n">
        <x:f>ROUND($F12*'基础规则'!$C$17,0)</x:f>
        <x:v>19</x:v>
      </x:c>
      <x:c r="K12" s="23" t="n">
        <x:f>ROUND($F12*'基础规则'!$C$18,0)</x:f>
        <x:v>24</x:v>
      </x:c>
      <x:c r="L12" s="23" t="n">
        <x:f>ROUND($F12*'基础规则'!$C$19,0)</x:f>
        <x:v>29</x:v>
      </x:c>
      <x:c r="M12" s="23" t="n">
        <x:f>ROUND($F12*'基础规则'!$C$20,0)</x:f>
        <x:v>34</x:v>
      </x:c>
    </x:row>
    <x:row r="13" ht="56" customHeight="1">
      <x:c r="A13" s="14" t="str">
        <x:v>HEAL_REGEN</x:v>
      </x:c>
      <x:c r="B13" s="14" t="str">
        <x:v>生息</x:v>
      </x:c>
      <x:c r="C13" s="14" t="str">
        <x:v>妻财</x:v>
      </x:c>
      <x:c r="D13" s="14" t="str">
        <x:v>自身</x:v>
      </x:c>
      <x:c r="E13" s="17" t="n">
        <x:v>8</x:v>
      </x:c>
      <x:c r="F13" s="15" t="n">
        <x:v>10</x:v>
      </x:c>
      <x:c r="G13" s="14" t="str">
        <x:v>持续治疗</x:v>
      </x:c>
      <x:c r="H13" s="14" t="str">
        <x:v>每次恢复表中 HP，共 3 次；从下一玩家回合开始触发，同类取较强并刷新</x:v>
      </x:c>
      <x:c r="I13" s="23" t="n">
        <x:f>ROUND($F13*'基础规则'!$C$16,0)</x:f>
        <x:v>6</x:v>
      </x:c>
      <x:c r="J13" s="23" t="n">
        <x:f>ROUND($F13*'基础规则'!$C$17,0)</x:f>
        <x:v>8</x:v>
      </x:c>
      <x:c r="K13" s="23" t="n">
        <x:f>ROUND($F13*'基础规则'!$C$18,0)</x:f>
        <x:v>10</x:v>
      </x:c>
      <x:c r="L13" s="23" t="n">
        <x:f>ROUND($F13*'基础规则'!$C$19,0)</x:f>
        <x:v>12</x:v>
      </x:c>
      <x:c r="M13" s="23" t="n">
        <x:f>ROUND($F13*'基础规则'!$C$20,0)</x:f>
        <x:v>14</x:v>
      </x:c>
    </x:row>
    <x:row r="14" ht="56" customHeight="1">
      <x:c r="A14" s="14" t="str">
        <x:v>MP_BREATH</x:v>
      </x:c>
      <x:c r="B14" s="14" t="str">
        <x:v>调息</x:v>
      </x:c>
      <x:c r="C14" s="14" t="str">
        <x:v>子孙</x:v>
      </x:c>
      <x:c r="D14" s="14" t="str">
        <x:v>自身</x:v>
      </x:c>
      <x:c r="E14" s="17" t="n">
        <x:v>4</x:v>
      </x:c>
      <x:c r="F14" s="15" t="n">
        <x:v>8</x:v>
      </x:c>
      <x:c r="G14" s="14" t="str">
        <x:v>下轮回蓝</x:v>
      </x:c>
      <x:c r="H14" s="14" t="str">
        <x:v>下一玩家回合开始额外恢复 MP，与清心回蓝取最高，不累加</x:v>
      </x:c>
      <x:c r="I14" s="23" t="n">
        <x:f>MIN('基础规则'!$B$10,ROUND($F14*'基础规则'!$C$16,0))</x:f>
        <x:v>5</x:v>
      </x:c>
      <x:c r="J14" s="23" t="n">
        <x:f>MIN('基础规则'!$B$10,ROUND($F14*'基础规则'!$C$17,0))</x:f>
        <x:v>6</x:v>
      </x:c>
      <x:c r="K14" s="23" t="n">
        <x:f>MIN('基础规则'!$B$10,ROUND($F14*'基础规则'!$C$18,0))</x:f>
        <x:v>8</x:v>
      </x:c>
      <x:c r="L14" s="23" t="n">
        <x:f>MIN('基础规则'!$B$10,ROUND($F14*'基础规则'!$C$19,0))</x:f>
        <x:v>10</x:v>
      </x:c>
      <x:c r="M14" s="23" t="n">
        <x:f>MIN('基础规则'!$B$10,ROUND($F14*'基础规则'!$C$20,0))</x:f>
        <x:v>11</x:v>
      </x:c>
    </x:row>
    <x:row r="15" ht="56" customHeight="1">
      <x:c r="A15" s="14" t="str">
        <x:v>MP_CLEANSE</x:v>
      </x:c>
      <x:c r="B15" s="14" t="str">
        <x:v>清心</x:v>
      </x:c>
      <x:c r="C15" s="14" t="str">
        <x:v>子孙</x:v>
      </x:c>
      <x:c r="D15" s="14" t="str">
        <x:v>自身</x:v>
      </x:c>
      <x:c r="E15" s="17" t="n">
        <x:v>4</x:v>
      </x:c>
      <x:c r="F15" s="15" t="n">
        <x:v>4</x:v>
      </x:c>
      <x:c r="G15" s="14" t="str">
        <x:v>下轮回蓝</x:v>
      </x:c>
      <x:c r="H15" s="14" t="str">
        <x:v>立即净化 1 个可解除负面状态，并预约表中 MP 于下轮恢复</x:v>
      </x:c>
      <x:c r="I15" s="23" t="n">
        <x:f>MIN('基础规则'!$B$10,ROUND($F15*'基础规则'!$C$16,0))</x:f>
        <x:v>2</x:v>
      </x:c>
      <x:c r="J15" s="23" t="n">
        <x:f>MIN('基础规则'!$B$10,ROUND($F15*'基础规则'!$C$17,0))</x:f>
        <x:v>3</x:v>
      </x:c>
      <x:c r="K15" s="23" t="n">
        <x:f>MIN('基础规则'!$B$10,ROUND($F15*'基础规则'!$C$18,0))</x:f>
        <x:v>4</x:v>
      </x:c>
      <x:c r="L15" s="23" t="n">
        <x:f>MIN('基础规则'!$B$10,ROUND($F15*'基础规则'!$C$19,0))</x:f>
        <x:v>5</x:v>
      </x:c>
      <x:c r="M15" s="23" t="n">
        <x:f>MIN('基础规则'!$B$10,ROUND($F15*'基础规则'!$C$20,0))</x:f>
        <x:v>6</x:v>
      </x:c>
    </x:row>
    <x:row r="16" ht="56" customHeight="1">
      <x:c r="A16" s="14" t="str">
        <x:v>CTRL_SEAL</x:v>
      </x:c>
      <x:c r="B16" s="14" t="str">
        <x:v>封诀</x:v>
      </x:c>
      <x:c r="C16" s="14" t="str">
        <x:v>兄弟</x:v>
      </x:c>
      <x:c r="D16" s="14" t="str">
        <x:v>单个敌人</x:v>
      </x:c>
      <x:c r="E16" s="17" t="n">
        <x:v>6</x:v>
      </x:c>
      <x:c r="F16" s="15" t="n">
        <x:v>1</x:v>
      </x:c>
      <x:c r="G16" s="14" t="str">
        <x:v>档位控制</x:v>
      </x:c>
      <x:c r="H16" s="14" t="str">
        <x:v>负分：虚弱 10%；非负：沉默 1 次行动。沉默不能阻止敌方普攻</x:v>
      </x:c>
      <x:c r="I16" s="25" t="str">
        <x:f>IF('基础规则'!$A$16&lt;0,"虚弱10%","沉默1次")</x:f>
        <x:v>虚弱10%</x:v>
      </x:c>
      <x:c r="J16" s="25" t="str">
        <x:f>IF('基础规则'!$A$17&lt;0,"虚弱10%","沉默1次")</x:f>
        <x:v>虚弱10%</x:v>
      </x:c>
      <x:c r="K16" s="25" t="str">
        <x:f>IF('基础规则'!$A$18&lt;0,"虚弱10%","沉默1次")</x:f>
        <x:v>沉默1次</x:v>
      </x:c>
      <x:c r="L16" s="25" t="str">
        <x:f>IF('基础规则'!$A$19&lt;0,"虚弱10%","沉默1次")</x:f>
        <x:v>沉默1次</x:v>
      </x:c>
      <x:c r="M16" s="25" t="str">
        <x:f>IF('基础规则'!$A$20&lt;0,"虚弱10%","沉默1次")</x:f>
        <x:v>沉默1次</x:v>
      </x:c>
    </x:row>
    <x:row r="17" ht="56" customHeight="1">
      <x:c r="A17" s="14" t="str">
        <x:v>CTRL_BIND</x:v>
      </x:c>
      <x:c r="B17" s="14" t="str">
        <x:v>缚灵</x:v>
      </x:c>
      <x:c r="C17" s="14" t="str">
        <x:v>兄弟</x:v>
      </x:c>
      <x:c r="D17" s="14" t="str">
        <x:v>单个敌人</x:v>
      </x:c>
      <x:c r="E17" s="17" t="n">
        <x:v>8</x:v>
      </x:c>
      <x:c r="F17" s="15" t="n">
        <x:v>1</x:v>
      </x:c>
      <x:c r="G17" s="14" t="str">
        <x:v>档位控制</x:v>
      </x:c>
      <x:c r="H17" s="14" t="str">
        <x:v>衰/弱：虚弱10%；平：20%；旺：30%；盛：眩晕1次。定神/首领使眩晕降为虚弱30%</x:v>
      </x:c>
      <x:c r="I17" s="25" t="str">
        <x:f>IF('基础规则'!$A$16&lt;0,"虚弱10%",IF('基础规则'!$A$16=0,"虚弱20%",IF('基础规则'!$A$16=1,"虚弱30%","眩晕1次")))</x:f>
        <x:v>虚弱10%</x:v>
      </x:c>
      <x:c r="J17" s="25" t="str">
        <x:f>IF('基础规则'!$A$17&lt;0,"虚弱10%",IF('基础规则'!$A$17=0,"虚弱20%",IF('基础规则'!$A$17=1,"虚弱30%","眩晕1次")))</x:f>
        <x:v>虚弱10%</x:v>
      </x:c>
      <x:c r="K17" s="25" t="str">
        <x:f>IF('基础规则'!$A$18&lt;0,"虚弱10%",IF('基础规则'!$A$18=0,"虚弱20%",IF('基础规则'!$A$18=1,"虚弱30%","眩晕1次")))</x:f>
        <x:v>虚弱20%</x:v>
      </x:c>
      <x:c r="L17" s="25" t="str">
        <x:f>IF('基础规则'!$A$19&lt;0,"虚弱10%",IF('基础规则'!$A$19=0,"虚弱20%",IF('基础规则'!$A$19=1,"虚弱30%","眩晕1次")))</x:f>
        <x:v>虚弱30%</x:v>
      </x:c>
      <x:c r="M17" s="25" t="str">
        <x:f>IF('基础规则'!$A$20&lt;0,"虚弱10%",IF('基础规则'!$A$20=0,"虚弱20%",IF('基础规则'!$A$20=1,"虚弱30%","眩晕1次")))</x:f>
        <x:v>眩晕1次</x:v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25" customHeight="1">
      <x:c r="A20" s="6" t="str">
        <x:v>持续治疗显示每次触发值；三次总量 = 表中数值 × 3。控制效果不按小数回合计算。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25" customHeight="1">
      <x:c r="A21" s="6" t="str">
        <x:v>减伤和护盾可同时生效：先处理减伤，再扣护盾，再扣 HP。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25" customHeight="1">
      <x:c r="A22" s="6" t="str">
        <x:v>MP_BREATH 与 MP_CLEANSE 只预约下一轮回蓝，当前回合可用 MP 不增加。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</x:sheetData>
  <x:dataValidations count="1">
    <x:dataValidation type="whole" operator="between" sqref="E7:E17">
      <x:formula1>1</x:formula1>
      <x:formula2>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F99"/>
  </x:sheetPr>
  <x:sheetViews>
    <x:sheetView showGridLines="0" workbookViewId="0"/>
  </x:sheetViews>
  <x:sheetFormatPr defaultRowHeight="15"/>
  <x:cols>
    <x:col min="1" max="1" width="23.75" hidden="0" customWidth="1"/>
    <x:col min="2" max="2" width="13.75" hidden="0" customWidth="1"/>
    <x:col min="3" max="3" width="12.5" hidden="0" customWidth="1"/>
    <x:col min="4" max="4" width="53.7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战斗基础规则 v0.1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6" t="str">
        <x:v>来源：已确认的战斗规则。所有新增数值为首轮试玩配置，尚未经过实际战斗验证。</x:v>
      </x:c>
      <x:c r="B4" s="3"/>
      <x:c r="C4" s="3"/>
      <x:c r="D4" s="3"/>
      <x:c r="E4" s="3"/>
      <x:c r="F4" s="3"/>
      <x:c r="G4" s="3"/>
      <x:c r="H4" s="3"/>
    </x:row>
    <x:row r="5" ht="25" customHeight="1">
      <x:c r="A5" s="3"/>
      <x:c r="B5" s="3"/>
      <x:c r="C5" s="3"/>
      <x:c r="D5" s="3"/>
      <x:c r="E5" s="3"/>
      <x:c r="F5" s="3"/>
      <x:c r="G5" s="3"/>
      <x:c r="H5" s="3"/>
    </x:row>
    <x:row r="6" ht="32" customHeight="1">
      <x:c r="A6" s="11" t="str">
        <x:v>参数</x:v>
      </x:c>
      <x:c r="B6" s="12" t="str">
        <x:v>配置值</x:v>
      </x:c>
      <x:c r="C6" s="12" t="str">
        <x:v>单位</x:v>
      </x:c>
      <x:c r="D6" s="13" t="str">
        <x:v>结算规则</x:v>
      </x:c>
      <x:c r="E6" s="3"/>
      <x:c r="F6" s="3"/>
      <x:c r="G6" s="3"/>
      <x:c r="H6" s="3"/>
    </x:row>
    <x:row r="7" ht="42" customHeight="1">
      <x:c r="A7" s="14" t="str">
        <x:v>玩家生命上限</x:v>
      </x:c>
      <x:c r="B7" s="17" t="n">
        <x:v>100</x:v>
      </x:c>
      <x:c r="C7" s="14" t="str">
        <x:v>HP</x:v>
      </x:c>
      <x:c r="D7" s="14" t="str">
        <x:v>每场战斗开始恢复到上限</x:v>
      </x:c>
      <x:c r="E7" s="3"/>
      <x:c r="F7" s="3"/>
      <x:c r="G7" s="3"/>
      <x:c r="H7" s="3"/>
    </x:row>
    <x:row r="8" ht="42" customHeight="1">
      <x:c r="A8" s="14" t="str">
        <x:v>玩家法力上限</x:v>
      </x:c>
      <x:c r="B8" s="17" t="n">
        <x:v>30</x:v>
      </x:c>
      <x:c r="C8" s="14" t="str">
        <x:v>MP</x:v>
      </x:c>
      <x:c r="D8" s="14" t="str">
        <x:v>每场战斗开始恢复到上限</x:v>
      </x:c>
      <x:c r="E8" s="3"/>
      <x:c r="F8" s="3"/>
      <x:c r="G8" s="3"/>
      <x:c r="H8" s="3"/>
    </x:row>
    <x:row r="9" ht="42" customHeight="1">
      <x:c r="A9" s="14" t="str">
        <x:v>每轮自然回蓝</x:v>
      </x:c>
      <x:c r="B9" s="17" t="n">
        <x:v>12</x:v>
      </x:c>
      <x:c r="C9" s="14" t="str">
        <x:v>MP</x:v>
      </x:c>
      <x:c r="D9" s="14" t="str">
        <x:v>从第二个玩家回合开始，每回合开始触发一次</x:v>
      </x:c>
      <x:c r="E9" s="3"/>
      <x:c r="F9" s="3"/>
      <x:c r="G9" s="3"/>
      <x:c r="H9" s="3"/>
    </x:row>
    <x:row r="10" ht="42" customHeight="1">
      <x:c r="A10" s="14" t="str">
        <x:v>子孙额外回蓝上限</x:v>
      </x:c>
      <x:c r="B10" s="17" t="n">
        <x:v>12</x:v>
      </x:c>
      <x:c r="C10" s="14" t="str">
        <x:v>MP</x:v>
      </x:c>
      <x:c r="D10" s="14" t="str">
        <x:v>下个玩家回合开始兑现，同类取最高、不累加</x:v>
      </x:c>
      <x:c r="E10" s="3"/>
      <x:c r="F10" s="3"/>
      <x:c r="G10" s="3"/>
      <x:c r="H10" s="3"/>
    </x:row>
    <x:row r="11" ht="42" customHeight="1">
      <x:c r="A11" s="14" t="str">
        <x:v>玩家护盾上限</x:v>
      </x:c>
      <x:c r="B11" s="17" t="n">
        <x:v>40</x:v>
      </x:c>
      <x:c r="C11" s="14" t="str">
        <x:v>护盾</x:v>
      </x:c>
      <x:c r="D11" s="14" t="str">
        <x:v>护盾可累加至上限，下个玩家回合开始清除</x:v>
      </x:c>
      <x:c r="E11" s="3"/>
      <x:c r="F11" s="3"/>
      <x:c r="G11" s="3"/>
      <x:c r="H11" s="3"/>
    </x:row>
    <x:row r="12" ht="42" customHeight="1">
      <x:c r="A12" s="14" t="str">
        <x:v>玩家减伤上限</x:v>
      </x:c>
      <x:c r="B12" s="16" t="n">
        <x:v>0.5</x:v>
      </x:c>
      <x:c r="C12" s="14" t="str">
        <x:v>比例</x:v>
      </x:c>
      <x:c r="D12" s="14" t="str">
        <x:v>同类减伤取最高，覆盖本次敌方阶段</x:v>
      </x:c>
      <x:c r="E12" s="3"/>
      <x:c r="F12" s="3"/>
      <x:c r="G12" s="3"/>
      <x:c r="H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</x:row>
    <x:row r="14" ht="25" customHeight="1">
      <x:c r="A14" s="19" t="str">
        <x:v>卦势倍率</x:v>
      </x:c>
      <x:c r="B14" s="18"/>
      <x:c r="C14" s="18"/>
      <x:c r="D14" s="18"/>
      <x:c r="E14" s="3"/>
      <x:c r="F14" s="3"/>
      <x:c r="G14" s="3"/>
      <x:c r="H14" s="3"/>
    </x:row>
    <x:row r="15" ht="32" customHeight="1">
      <x:c r="A15" s="11" t="str">
        <x:v>归一得分</x:v>
      </x:c>
      <x:c r="B15" s="12" t="str">
        <x:v>档位</x:v>
      </x:c>
      <x:c r="C15" s="12" t="str">
        <x:v>数值倍率</x:v>
      </x:c>
      <x:c r="D15" s="13" t="str">
        <x:v>原始六亲得分对应范围</x:v>
      </x:c>
      <x:c r="E15" s="3"/>
      <x:c r="F15" s="3"/>
      <x:c r="G15" s="3"/>
      <x:c r="H15" s="3"/>
    </x:row>
    <x:row r="16" ht="25" customHeight="1">
      <x:c r="A16" s="14" t="n">
        <x:v>-2</x:v>
      </x:c>
      <x:c r="B16" s="14" t="str">
        <x:v>衰</x:v>
      </x:c>
      <x:c r="C16" s="20" t="n">
        <x:v>0.6</x:v>
      </x:c>
      <x:c r="D16" s="14" t="str">
        <x:v>原始得分 ≤ -2</x:v>
      </x:c>
      <x:c r="E16" s="3"/>
      <x:c r="F16" s="3"/>
      <x:c r="G16" s="3"/>
      <x:c r="H16" s="3"/>
    </x:row>
    <x:row r="17" ht="25" customHeight="1">
      <x:c r="A17" s="14" t="n">
        <x:v>-1</x:v>
      </x:c>
      <x:c r="B17" s="14" t="str">
        <x:v>弱</x:v>
      </x:c>
      <x:c r="C17" s="20" t="n">
        <x:v>0.8</x:v>
      </x:c>
      <x:c r="D17" s="14" t="str">
        <x:v>原始得分 = -1</x:v>
      </x:c>
      <x:c r="E17" s="3"/>
      <x:c r="F17" s="3"/>
      <x:c r="G17" s="3"/>
      <x:c r="H17" s="3"/>
    </x:row>
    <x:row r="18" ht="25" customHeight="1">
      <x:c r="A18" s="14" t="n">
        <x:v>0</x:v>
      </x:c>
      <x:c r="B18" s="14" t="str">
        <x:v>平</x:v>
      </x:c>
      <x:c r="C18" s="20" t="n">
        <x:v>1</x:v>
      </x:c>
      <x:c r="D18" s="14" t="str">
        <x:v>原始得分 = 0</x:v>
      </x:c>
      <x:c r="E18" s="3"/>
      <x:c r="F18" s="3"/>
      <x:c r="G18" s="3"/>
      <x:c r="H18" s="3"/>
    </x:row>
    <x:row r="19" ht="25" customHeight="1">
      <x:c r="A19" s="14" t="n">
        <x:v>1</x:v>
      </x:c>
      <x:c r="B19" s="14" t="str">
        <x:v>旺</x:v>
      </x:c>
      <x:c r="C19" s="20" t="n">
        <x:v>1.2</x:v>
      </x:c>
      <x:c r="D19" s="14" t="str">
        <x:v>原始得分 = 1</x:v>
      </x:c>
      <x:c r="E19" s="3"/>
      <x:c r="F19" s="3"/>
      <x:c r="G19" s="3"/>
      <x:c r="H19" s="3"/>
    </x:row>
    <x:row r="20" ht="25" customHeight="1">
      <x:c r="A20" s="14" t="n">
        <x:v>2</x:v>
      </x:c>
      <x:c r="B20" s="14" t="str">
        <x:v>盛</x:v>
      </x:c>
      <x:c r="C20" s="20" t="n">
        <x:v>1.4</x:v>
      </x:c>
      <x:c r="D20" s="14" t="str">
        <x:v>原始得分 ≥ 2</x:v>
      </x:c>
      <x:c r="E20" s="3"/>
      <x:c r="F20" s="3"/>
      <x:c r="G20" s="3"/>
      <x:c r="H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</x:row>
    <x:row r="23" ht="25" customHeight="1">
      <x:c r="A23" s="19" t="str">
        <x:v>行动与数值结算</x:v>
      </x:c>
      <x:c r="B23" s="18"/>
      <x:c r="C23" s="18"/>
      <x:c r="D23" s="18"/>
      <x:c r="E23" s="3"/>
      <x:c r="F23" s="3"/>
      <x:c r="G23" s="3"/>
      <x:c r="H23" s="3"/>
    </x:row>
    <x:row r="24" ht="32" customHeight="1">
      <x:c r="A24" s="11" t="str">
        <x:v>规则</x:v>
      </x:c>
      <x:c r="B24" s="12" t="str">
        <x:v>配置</x:v>
      </x:c>
      <x:c r="C24" s="12" t="str">
        <x:v>适用方</x:v>
      </x:c>
      <x:c r="D24" s="13" t="str">
        <x:v>说明</x:v>
      </x:c>
      <x:c r="E24" s="3"/>
      <x:c r="F24" s="3"/>
      <x:c r="G24" s="3"/>
      <x:c r="H24" s="3"/>
    </x:row>
    <x:row r="25" ht="48" customHeight="1">
      <x:c r="A25" s="14" t="str">
        <x:v>玩家行动次数</x:v>
      </x:c>
      <x:c r="B25" s="14" t="str">
        <x:v>MP / 物品约束</x:v>
      </x:c>
      <x:c r="C25" s="14" t="str">
        <x:v>玩家</x:v>
      </x:c>
      <x:c r="D25" s="14" t="str">
        <x:v>一回合内可连续使用技能和物品，点击结束回合后才交给敌方</x:v>
      </x:c>
      <x:c r="E25" s="3"/>
      <x:c r="F25" s="3"/>
      <x:c r="G25" s="3"/>
      <x:c r="H25" s="3"/>
    </x:row>
    <x:row r="26" ht="48" customHeight="1">
      <x:c r="A26" s="14" t="str">
        <x:v>技能起卦频率</x:v>
      </x:c>
      <x:c r="B26" s="14" t="str">
        <x:v>每次施放一卦</x:v>
      </x:c>
      <x:c r="C26" s="14" t="str">
        <x:v>玩家</x:v>
      </x:c>
      <x:c r="D26" s="14" t="str">
        <x:v>提交技能、扣 MP、起卦、结算。每次技能独立生成结果</x:v>
      </x:c>
      <x:c r="E26" s="3"/>
      <x:c r="F26" s="3"/>
      <x:c r="G26" s="3"/>
      <x:c r="H26" s="3"/>
    </x:row>
    <x:row r="27" ht="48" customHeight="1">
      <x:c r="A27" s="14" t="str">
        <x:v>范围与多段技能</x:v>
      </x:c>
      <x:c r="B27" s="14" t="str">
        <x:v>一次技能一卦</x:v>
      </x:c>
      <x:c r="C27" s="14" t="str">
        <x:v>玩家</x:v>
      </x:c>
      <x:c r="D27" s="14" t="str">
        <x:v>所有目标共用当次倍率。范围攻击按每个目标独立取整</x:v>
      </x:c>
      <x:c r="E27" s="3"/>
      <x:c r="F27" s="3"/>
      <x:c r="G27" s="3"/>
      <x:c r="H27" s="3"/>
    </x:row>
    <x:row r="28" ht="48" customHeight="1">
      <x:c r="A28" s="14" t="str">
        <x:v>敌人行动次数</x:v>
      </x:c>
      <x:c r="B28" s="14" t="n">
        <x:v>1</x:v>
      </x:c>
      <x:c r="C28" s="14" t="str">
        <x:v>每个存活敌人</x:v>
      </x:c>
      <x:c r="D28" s="14" t="str">
        <x:v>敌方阶段按固定顺序各行动一次，死亡或眩晕时跳过</x:v>
      </x:c>
      <x:c r="E28" s="3"/>
      <x:c r="F28" s="3"/>
      <x:c r="G28" s="3"/>
      <x:c r="H28" s="3"/>
    </x:row>
    <x:row r="29" ht="48" customHeight="1">
      <x:c r="A29" s="14" t="str">
        <x:v>敌方起卦</x:v>
      </x:c>
      <x:c r="B29" s="14" t="str">
        <x:v>不进行</x:v>
      </x:c>
      <x:c r="C29" s="14" t="str">
        <x:v>敌方</x:v>
      </x:c>
      <x:c r="D29" s="14" t="str">
        <x:v>AI 意图与技能基础数值不读取玩家卦象</x:v>
      </x:c>
      <x:c r="E29" s="3"/>
      <x:c r="F29" s="3"/>
      <x:c r="G29" s="3"/>
      <x:c r="H29" s="3"/>
    </x:row>
    <x:row r="30" ht="48" customHeight="1">
      <x:c r="A30" s="14" t="str">
        <x:v>技能数值</x:v>
      </x:c>
      <x:c r="B30" s="14" t="str">
        <x:v>基础值 × 倍率</x:v>
      </x:c>
      <x:c r="C30" s="14" t="str">
        <x:v>玩家</x:v>
      </x:c>
      <x:c r="D30" s="14" t="str">
        <x:v>HP / MP / 护盾先乘倍率，四舍五入取整数，再限制到上限</x:v>
      </x:c>
      <x:c r="E30" s="3"/>
      <x:c r="F30" s="3"/>
      <x:c r="G30" s="3"/>
      <x:c r="H30" s="3"/>
    </x:row>
    <x:row r="31" ht="48" customHeight="1">
      <x:c r="A31" s="14" t="str">
        <x:v>减伤数值</x:v>
      </x:c>
      <x:c r="B31" s="14" t="str">
        <x:v>基础比例 × 倍率</x:v>
      </x:c>
      <x:c r="C31" s="14" t="str">
        <x:v>玩家</x:v>
      </x:c>
      <x:c r="D31" s="14" t="str">
        <x:v>比例不取整，限制到玩家减伤上限</x:v>
      </x:c>
      <x:c r="E31" s="3"/>
      <x:c r="F31" s="3"/>
      <x:c r="G31" s="3"/>
      <x:c r="H31" s="3"/>
    </x:row>
    <x:row r="32" ht="48" customHeight="1">
      <x:c r="A32" s="14" t="str">
        <x:v>伤害处理顺序</x:v>
      </x:c>
      <x:c r="B32" s="14" t="str">
        <x:v>状态 → 护盾 → HP</x:v>
      </x:c>
      <x:c r="C32" s="14" t="str">
        <x:v>双方</x:v>
      </x:c>
      <x:c r="D32" s="14" t="str">
        <x:v>基础伤害乘易伤、虚弱、减伤后统一取整；护盾先于生命承伤</x:v>
      </x:c>
      <x:c r="E32" s="3"/>
      <x:c r="F32" s="3"/>
      <x:c r="G32" s="3"/>
      <x:c r="H32" s="3"/>
    </x:row>
    <x:row r="33" ht="48" customHeight="1">
      <x:c r="A33" s="14" t="str">
        <x:v>持续效果</x:v>
      </x:c>
      <x:c r="B33" s="14" t="str">
        <x:v>施放时固定</x:v>
      </x:c>
      <x:c r="C33" s="14" t="str">
        <x:v>玩家</x:v>
      </x:c>
      <x:c r="D33" s="14" t="str">
        <x:v>之后按回合触发，后续触发不重新起卦</x:v>
      </x:c>
      <x:c r="E33" s="3"/>
      <x:c r="F33" s="3"/>
      <x:c r="G33" s="3"/>
      <x:c r="H33" s="3"/>
    </x:row>
    <x:row r="34" ht="48" customHeight="1">
      <x:c r="A34" s="14" t="str">
        <x:v>缺少所需六亲</x:v>
      </x:c>
      <x:c r="B34" s="14" t="n">
        <x:v>0</x:v>
      </x:c>
      <x:c r="C34" s="14" t="str">
        <x:v>玩家</x:v>
      </x:c>
      <x:c r="D34" s="14" t="str">
        <x:v>缺类得分为 0，仍可施放技能；同类多爻取最高分</x:v>
      </x:c>
      <x:c r="E34" s="3"/>
      <x:c r="F34" s="3"/>
      <x:c r="G34" s="3"/>
      <x:c r="H34" s="3"/>
    </x:row>
    <x:row r="35" ht="48" customHeight="1">
      <x:c r="A35" s="14" t="str">
        <x:v>同分取用爻</x:v>
      </x:c>
      <x:c r="B35" s="14" t="str">
        <x:v>初爻优先</x:v>
      </x:c>
      <x:c r="C35" s="14" t="str">
        <x:v>玩家</x:v>
      </x:c>
      <x:c r="D35" s="14" t="str">
        <x:v>同类最高分相同时取最低爻位，仅用于动爻附加效果</x:v>
      </x:c>
      <x:c r="E35" s="3"/>
      <x:c r="F35" s="3"/>
      <x:c r="G35" s="3"/>
      <x:c r="H35" s="3"/>
    </x:row>
    <x:row r="36" ht="48" customHeight="1">
      <x:c r="A36" s="14" t="str">
        <x:v>回合开始顺序</x:v>
      </x:c>
      <x:c r="B36" s="14" t="str">
        <x:v>清盾 → 持续 → 回蓝</x:v>
      </x:c>
      <x:c r="C36" s="14" t="str">
        <x:v>玩家</x:v>
      </x:c>
      <x:c r="D36" s="14" t="str">
        <x:v>先清理上轮护盾 / 减伤，再结算持续治疗，最后自然和子孙回蓝</x:v>
      </x:c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</x:row>
    <x:row r="39" ht="25" customHeight="1">
      <x:c r="A39" s="19" t="str">
        <x:v>状态规则</x:v>
      </x:c>
      <x:c r="B39" s="18"/>
      <x:c r="C39" s="18"/>
      <x:c r="D39" s="18"/>
      <x:c r="E39" s="3"/>
      <x:c r="F39" s="3"/>
      <x:c r="G39" s="3"/>
      <x:c r="H39" s="3"/>
    </x:row>
    <x:row r="40" ht="32" customHeight="1">
      <x:c r="A40" s="11" t="str">
        <x:v>状态</x:v>
      </x:c>
      <x:c r="B40" s="12" t="str">
        <x:v>基础幅度 / 次数</x:v>
      </x:c>
      <x:c r="C40" s="12" t="str">
        <x:v>持续时点</x:v>
      </x:c>
      <x:c r="D40" s="13" t="str">
        <x:v>叠加与特殊规则</x:v>
      </x:c>
      <x:c r="E40" s="3"/>
      <x:c r="F40" s="3"/>
      <x:c r="G40" s="3"/>
      <x:c r="H40" s="3"/>
    </x:row>
    <x:row r="41" ht="52" customHeight="1">
      <x:c r="A41" s="14" t="str">
        <x:v>易伤</x:v>
      </x:c>
      <x:c r="B41" s="16" t="n">
        <x:v>0.2</x:v>
      </x:c>
      <x:c r="C41" s="14" t="str">
        <x:v>后续直接受击</x:v>
      </x:c>
      <x:c r="D41" s="14" t="str">
        <x:v>直接伤害增加 20%，消耗一次计数；施加它的重击不消耗次数</x:v>
      </x:c>
      <x:c r="E41" s="3"/>
      <x:c r="F41" s="3"/>
      <x:c r="G41" s="3"/>
      <x:c r="H41" s="3"/>
    </x:row>
    <x:row r="42" ht="52" customHeight="1">
      <x:c r="A42" s="14" t="str">
        <x:v>易伤次数</x:v>
      </x:c>
      <x:c r="B42" s="15" t="n">
        <x:v>2</x:v>
      </x:c>
      <x:c r="C42" s="14" t="str">
        <x:v>后续直接受击</x:v>
      </x:c>
      <x:c r="D42" s="14" t="str">
        <x:v>普通及以上卦势触发；取用官鬼爻为动爻时为 3 次；刷新、不累加</x:v>
      </x:c>
      <x:c r="E42" s="3"/>
      <x:c r="F42" s="3"/>
      <x:c r="G42" s="3"/>
      <x:c r="H42" s="3"/>
    </x:row>
    <x:row r="43" ht="52" customHeight="1">
      <x:c r="A43" s="14" t="str">
        <x:v>虚弱</x:v>
      </x:c>
      <x:c r="B43" s="14" t="str">
        <x:v>10% / 20% / 30%</x:v>
      </x:c>
      <x:c r="C43" s="14" t="str">
        <x:v>目标下一行动</x:v>
      </x:c>
      <x:c r="D43" s="14" t="str">
        <x:v>降低伤害技能的最终威力，同类取最高；不改写敌方意图或基础配置</x:v>
      </x:c>
      <x:c r="E43" s="3"/>
      <x:c r="F43" s="3"/>
      <x:c r="G43" s="3"/>
      <x:c r="H43" s="3"/>
    </x:row>
    <x:row r="44" ht="52" customHeight="1">
      <x:c r="A44" s="14" t="str">
        <x:v>沉默</x:v>
      </x:c>
      <x:c r="B44" s="15" t="n">
        <x:v>1</x:v>
      </x:c>
      <x:c r="C44" s="14" t="str">
        <x:v>目标下一行动</x:v>
      </x:c>
      <x:c r="D44" s="14" t="str">
        <x:v>禁止耗 MP 的敌方技能，已计划技能不可用时改为 0 MP 普攻</x:v>
      </x:c>
      <x:c r="E44" s="3"/>
      <x:c r="F44" s="3"/>
      <x:c r="G44" s="3"/>
      <x:c r="H44" s="3"/>
    </x:row>
    <x:row r="45" ht="52" customHeight="1">
      <x:c r="A45" s="14" t="str">
        <x:v>眩晕</x:v>
      </x:c>
      <x:c r="B45" s="15" t="n">
        <x:v>1</x:v>
      </x:c>
      <x:c r="C45" s="14" t="str">
        <x:v>目标下一行动机会</x:v>
      </x:c>
      <x:c r="D45" s="14" t="str">
        <x:v>目标跳过一次行动；重复施放只刷新为 1 次，不累加</x:v>
      </x:c>
      <x:c r="E45" s="3"/>
      <x:c r="F45" s="3"/>
      <x:c r="G45" s="3"/>
      <x:c r="H45" s="3"/>
    </x:row>
    <x:row r="46" ht="52" customHeight="1">
      <x:c r="A46" s="14" t="str">
        <x:v>定神</x:v>
      </x:c>
      <x:c r="B46" s="15" t="n">
        <x:v>1</x:v>
      </x:c>
      <x:c r="C46" s="14" t="str">
        <x:v>后续行动机会</x:v>
      </x:c>
      <x:c r="D46" s="14" t="str">
        <x:v>眩晕被消耗后获得；下一个行动机会免疫眩晕，结束时移除</x:v>
      </x:c>
      <x:c r="E46" s="3"/>
      <x:c r="F46" s="3"/>
      <x:c r="G46" s="3"/>
      <x:c r="H46" s="3"/>
    </x:row>
    <x:row r="47" ht="52" customHeight="1">
      <x:c r="A47" s="14" t="str">
        <x:v>首领抗眩晕</x:v>
      </x:c>
      <x:c r="B47" s="16" t="n">
        <x:v>0.3</x:v>
      </x:c>
      <x:c r="C47" s="14" t="str">
        <x:v>目标下一行动</x:v>
      </x:c>
      <x:c r="D47" s="14" t="str">
        <x:v>眩晕降级为 30% 虚弱，控制技能仍有收益</x:v>
      </x:c>
      <x:c r="E47" s="3"/>
      <x:c r="F47" s="3"/>
      <x:c r="G47" s="3"/>
      <x:c r="H47" s="3"/>
    </x:row>
    <x:row r="48" ht="52" customHeight="1">
      <x:c r="A48" s="14" t="str">
        <x:v>护盾与减伤</x:v>
      </x:c>
      <x:c r="B48" s="14" t="str">
        <x:v>本轮生效</x:v>
      </x:c>
      <x:c r="C48" s="14" t="str">
        <x:v>下个玩家回合开始</x:v>
      </x:c>
      <x:c r="D48" s="14" t="str">
        <x:v>护盾加法至上限；减伤取最高；回合结束前连续施法不会清除它们</x:v>
      </x:c>
      <x:c r="E48" s="3"/>
      <x:c r="F48" s="3"/>
      <x:c r="G48" s="3"/>
      <x:c r="H48" s="3"/>
    </x:row>
    <x:row r="49" ht="52" customHeight="1">
      <x:c r="A49" s="14" t="str">
        <x:v>持续治疗与灵息</x:v>
      </x:c>
      <x:c r="B49" s="14" t="str">
        <x:v>按回合触发</x:v>
      </x:c>
      <x:c r="C49" s="14" t="str">
        <x:v>玩家回合开始</x:v>
      </x:c>
      <x:c r="D49" s="14" t="str">
        <x:v>生息：持续 3 次、取较强并刷新；灵息：下轮触发 1 次、同类取最高</x:v>
      </x:c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</x:row>
    <x:row r="52" ht="25" customHeight="1">
      <x:c r="A52" s="19" t="str">
        <x:v>配置约定</x:v>
      </x:c>
      <x:c r="B52" s="18"/>
      <x:c r="C52" s="18"/>
      <x:c r="D52" s="18"/>
      <x:c r="E52" s="3"/>
      <x:c r="F52" s="3"/>
      <x:c r="G52" s="3"/>
      <x:c r="H52" s="3"/>
    </x:row>
    <x:row r="53" ht="32" customHeight="1">
      <x:c r="A53" s="11" t="str">
        <x:v>约定</x:v>
      </x:c>
      <x:c r="B53" s="12" t="str">
        <x:v>配置</x:v>
      </x:c>
      <x:c r="C53" s="12" t="str">
        <x:v>适用范围</x:v>
      </x:c>
      <x:c r="D53" s="13" t="str">
        <x:v>说明</x:v>
      </x:c>
      <x:c r="E53" s="3"/>
      <x:c r="F53" s="3"/>
      <x:c r="G53" s="3"/>
      <x:c r="H53" s="3"/>
    </x:row>
    <x:row r="54" ht="48" customHeight="1">
      <x:c r="A54" s="14" t="str">
        <x:v>技能冷却</x:v>
      </x:c>
      <x:c r="B54" s="14" t="n">
        <x:v>0</x:v>
      </x:c>
      <x:c r="C54" s="14" t="str">
        <x:v>全部玩家技能</x:v>
      </x:c>
      <x:c r="D54" s="14" t="str">
        <x:v>不额外限制一回合使用次数；持续效果遵循叠加规则</x:v>
      </x:c>
      <x:c r="E54" s="3"/>
      <x:c r="F54" s="3"/>
      <x:c r="G54" s="3"/>
      <x:c r="H54" s="3"/>
    </x:row>
    <x:row r="55" ht="48" customHeight="1">
      <x:c r="A55" s="14" t="str">
        <x:v>一次性物品</x:v>
      </x:c>
      <x:c r="B55" s="14" t="str">
        <x:v>不耗 MP / 不起卦</x:v>
      </x:c>
      <x:c r="C55" s="14" t="str">
        <x:v>玩家</x:v>
      </x:c>
      <x:c r="D55" s="14" t="str">
        <x:v>每次扣 1 件；同回合可重复使用，受背包实际数量限制</x:v>
      </x:c>
      <x:c r="E55" s="3"/>
      <x:c r="F55" s="3"/>
      <x:c r="G55" s="3"/>
      <x:c r="H55" s="3"/>
    </x:row>
    <x:row r="56" ht="48" customHeight="1">
      <x:c r="A56" s="14" t="str">
        <x:v>战后资源</x:v>
      </x:c>
      <x:c r="B56" s="14" t="str">
        <x:v>下场满 HP / MP</x:v>
      </x:c>
      <x:c r="C56" s="14" t="str">
        <x:v>玩家</x:v>
      </x:c>
      <x:c r="D56" s="14" t="str">
        <x:v>背包消耗跨战斗保留，战后清除全部临时状态</x:v>
      </x:c>
      <x:c r="E56" s="3"/>
      <x:c r="F56" s="3"/>
      <x:c r="G56" s="3"/>
      <x:c r="H56" s="3"/>
    </x:row>
    <x:row r="57" ht="48" customHeight="1">
      <x:c r="A57" s="14" t="str">
        <x:v>技能失败成本</x:v>
      </x:c>
      <x:c r="B57" s="14" t="str">
        <x:v>仍扣完整 MP</x:v>
      </x:c>
      <x:c r="C57" s="14" t="str">
        <x:v>玩家</x:v>
      </x:c>
      <x:c r="D57" s="14" t="str">
        <x:v>控制未达档位或被抗性抵消时，不返还已提交的 MP</x:v>
      </x:c>
      <x:c r="E57" s="3"/>
      <x:c r="F57" s="3"/>
      <x:c r="G57" s="3"/>
      <x:c r="H57" s="3"/>
    </x:row>
    <x:row r="58" ht="48" customHeight="1">
      <x:c r="A58" s="14" t="str">
        <x:v>日期</x:v>
      </x:c>
      <x:c r="B58" s="14" t="str">
        <x:v>巳月 / 戊子日</x:v>
      </x:c>
      <x:c r="C58" s="14" t="str">
        <x:v>首轮排盘测试</x:v>
      </x:c>
      <x:c r="D58" s="14" t="str">
        <x:v>沿用现有检定演示日期；日期固定，实际得分频率需后续统计</x:v>
      </x:c>
      <x:c r="E58" s="3"/>
      <x:c r="F58" s="3"/>
      <x:c r="G58" s="3"/>
      <x:c r="H58" s="3"/>
    </x:row>
    <x:row r="59" ht="48" customHeight="1">
      <x:c r="A59" s="14" t="str">
        <x:v>固定倍率样例</x:v>
      </x:c>
      <x:c r="B59" s="14" t="str">
        <x:v>不代表出现概率</x:v>
      </x:c>
      <x:c r="C59" s="14" t="str">
        <x:v>数值预算</x:v>
      </x:c>
      <x:c r="D59" s="14" t="str">
        <x:v>连招预算固定输入每次得分，未模拟起卦概率或敌方反击</x:v>
      </x:c>
      <x:c r="E59" s="3"/>
      <x:c r="F59" s="3"/>
      <x:c r="G59" s="3"/>
      <x:c r="H59" s="3"/>
    </x:row>
    <x:row r="60" ht="48" customHeight="1">
      <x:c r="A60" s="14" t="str">
        <x:v>不可浪费的使用</x:v>
      </x:c>
      <x:c r="B60" s="14" t="str">
        <x:v>无有效收益则禁用</x:v>
      </x:c>
      <x:c r="C60" s="14" t="str">
        <x:v>玩家界面</x:v>
      </x:c>
      <x:c r="D60" s="14" t="str">
        <x:v>满血治疗、满蓝药剂、护盾已满且无增益时应提示无有效目标</x:v>
      </x:c>
      <x:c r="E60" s="3"/>
      <x:c r="F60" s="3"/>
      <x:c r="G60" s="3"/>
      <x:c r="H60" s="3"/>
    </x:row>
    <x:row r="61" ht="25" customHeight="1">
      <x:c r="A61" s="3"/>
      <x:c r="B61" s="3"/>
      <x:c r="C61" s="3"/>
      <x:c r="D61" s="3"/>
      <x:c r="E61" s="3"/>
      <x:c r="F61" s="3"/>
      <x:c r="G61" s="3"/>
      <x:c r="H61" s="3"/>
    </x:row>
    <x:row r="62" ht="25" customHeight="1">
      <x:c r="A62" s="3"/>
      <x:c r="B62" s="3"/>
      <x:c r="C62" s="3"/>
      <x:c r="D62" s="3"/>
      <x:c r="E62" s="3"/>
      <x:c r="F62" s="3"/>
      <x:c r="G62" s="3"/>
      <x:c r="H62" s="3"/>
    </x:row>
    <x:row r="63" ht="25" customHeight="1">
      <x:c r="A63" s="6" t="str">
        <x:v>黄色：可调整输入。浅蓝：公式结果。玩家所有技能 MP &gt; 0，当前回合无无限施法回蓝来源。</x:v>
      </x:c>
      <x:c r="B63" s="3"/>
      <x:c r="C63" s="3"/>
      <x:c r="D63" s="3"/>
      <x:c r="E63" s="3"/>
      <x:c r="F63" s="3"/>
      <x:c r="G63" s="3"/>
      <x:c r="H63" s="3"/>
    </x:row>
    <x:row r="64" ht="25" customHeight="1">
      <x:c r="A64" s="6" t="str">
        <x:v>新开局的物品数量见战斗道具；每场开始恢复 HP / MP，不自动补充物品。</x:v>
      </x:c>
      <x:c r="B64" s="3"/>
      <x:c r="C64" s="3"/>
      <x:c r="D64" s="3"/>
      <x:c r="E64" s="3"/>
      <x:c r="F64" s="3"/>
      <x:c r="G64" s="3"/>
      <x:c r="H64" s="3"/>
    </x:row>
    <x:row r="65" ht="25" customHeight="1">
      <x:c r="A65" s="3"/>
      <x:c r="B65" s="3"/>
      <x:c r="C65" s="3"/>
      <x:c r="D65" s="3"/>
      <x:c r="E65" s="3"/>
      <x:c r="F65" s="3"/>
      <x:c r="G65" s="3"/>
      <x:c r="H65" s="3"/>
    </x:row>
    <x:row r="66" ht="25" customHeight="1">
      <x:c r="A66" s="3"/>
      <x:c r="B66" s="3"/>
      <x:c r="C66" s="3"/>
      <x:c r="D66" s="3"/>
      <x:c r="E66" s="3"/>
      <x:c r="F66" s="3"/>
      <x:c r="G66" s="3"/>
      <x:c r="H66" s="3"/>
    </x:row>
    <x:row r="67" ht="25" customHeight="1">
      <x:c r="A67" s="3"/>
      <x:c r="B67" s="3"/>
      <x:c r="C67" s="3"/>
      <x:c r="D67" s="3"/>
      <x:c r="E67" s="3"/>
      <x:c r="F67" s="3"/>
      <x:c r="G67" s="3"/>
      <x:c r="H67" s="3"/>
    </x:row>
  </x:sheetData>
  <x:dataValidations count="2">
    <x:dataValidation type="whole" operator="between" sqref="B7:B11">
      <x:formula1>1</x:formula1>
      <x:formula2>999</x:formula2>
    </x:dataValidation>
    <x:dataValidation type="decimal" operator="between" sqref="C16:C20">
      <x:formula1>0.1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7.5" hidden="0" customWidth="1"/>
    <x:col min="2" max="2" width="17.5" hidden="0" customWidth="1"/>
    <x:col min="3" max="3" width="9" hidden="0" customWidth="1"/>
    <x:col min="4" max="4" width="8.130000114440918" hidden="0" customWidth="1"/>
    <x:col min="5" max="5" width="8.130000114440918" hidden="0" customWidth="1"/>
    <x:col min="6" max="6" width="10" hidden="0" customWidth="1"/>
    <x:col min="7" max="7" width="12.5" hidden="0" customWidth="1"/>
    <x:col min="8" max="8" width="10" hidden="0" customWidth="1"/>
    <x:col min="9" max="9" width="13.130000114440918" hidden="0" customWidth="1"/>
    <x:col min="10" max="10" width="10.630000114440918" hidden="0" customWidth="1"/>
    <x:col min="11" max="11" width="10.630000114440918" hidden="0" customWidth="1"/>
    <x:col min="12" max="12" width="13.130000114440918" hidden="0" customWidth="1"/>
    <x:col min="13" max="13" width="18.7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4" t="str">
        <x:v>连招资源预算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5" customHeight="1">
      <x:c r="A4" s="6" t="str">
        <x:v>仅计算技能基础数值与 MP 预算，不计易伤、控制、敌人死亡、敌方反击和随机起卦概率。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4" customHeight="1">
      <x:c r="A6" s="3"/>
      <x:c r="B6" s="3" t="str">
        <x:v>回合初始 MP</x:v>
      </x:c>
      <x:c r="C6" s="28" t="n">
        <x:f>'基础规则'!B8</x:f>
        <x:v>30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4" customHeight="1">
      <x:c r="A7" s="3"/>
      <x:c r="B7" s="3" t="str">
        <x:v>每次横扫目标数</x:v>
      </x:c>
      <x:c r="C7" s="28" t="n">
        <x:v>3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34" customHeight="1">
      <x:c r="A8" s="3"/>
      <x:c r="B8" s="3" t="str">
        <x:v>玩家当前 HP</x:v>
      </x:c>
      <x:c r="C8" s="28" t="n">
        <x:v>100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34" customHeight="1">
      <x:c r="A9" s="3"/>
      <x:c r="B9" s="3" t="str">
        <x:v>玩家当前护盾</x:v>
      </x:c>
      <x:c r="C9" s="28" t="n">
        <x:v>0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32" customHeight="1">
      <x:c r="A12" s="11" t="str">
        <x:v>顺序</x:v>
      </x:c>
      <x:c r="B12" s="12" t="str">
        <x:v>技能 ID</x:v>
      </x:c>
      <x:c r="C12" s="12" t="str">
        <x:v>原始得分</x:v>
      </x:c>
      <x:c r="D12" s="12" t="str">
        <x:v>MP 消耗</x:v>
      </x:c>
      <x:c r="E12" s="12" t="str">
        <x:v>倍率</x:v>
      </x:c>
      <x:c r="F12" s="12" t="str">
        <x:v>提交前 MP</x:v>
      </x:c>
      <x:c r="G12" s="12" t="str">
        <x:v>状态</x:v>
      </x:c>
      <x:c r="H12" s="12" t="str">
        <x:v>提交后 MP</x:v>
      </x:c>
      <x:c r="I12" s="12" t="str">
        <x:v>直接伤害合计</x:v>
      </x:c>
      <x:c r="J12" s="12" t="str">
        <x:v>即时治疗</x:v>
      </x:c>
      <x:c r="K12" s="12" t="str">
        <x:v>护盾获得</x:v>
      </x:c>
      <x:c r="L12" s="12" t="str">
        <x:v>下轮额外回蓝</x:v>
      </x:c>
      <x:c r="M12" s="13" t="str">
        <x:v>效果说明</x:v>
      </x:c>
    </x:row>
    <x:row r="13" ht="39" customHeight="1">
      <x:c r="A13" s="3" t="n">
        <x:v>1</x:v>
      </x:c>
      <x:c r="B13" s="27" t="str">
        <x:v>ATK_HEAVY</x:v>
      </x:c>
      <x:c r="C13" s="28" t="n">
        <x:v>0</x:v>
      </x:c>
      <x:c r="D13" s="30" t="n">
        <x:f>IF(B13="结束",0,INDEX('玩家技能'!$E$7:$E$17,MATCH(B13,'玩家技能'!$A$7:$A$17,0)))</x:f>
        <x:v>8</x:v>
      </x:c>
      <x:c r="E13" s="29" t="n">
        <x:f>INDEX('基础规则'!$C$16:$C$20,MATCH(MAX(-2,MIN(2,C13)),'基础规则'!$A$16:$A$20,0))</x:f>
        <x:v>1</x:v>
      </x:c>
      <x:c r="F13" s="30" t="n">
        <x:f>$C$6</x:f>
        <x:v>30</x:v>
      </x:c>
      <x:c r="G13" s="21" t="str">
        <x:f>IF(B13="结束","结束",IF(D13&lt;=F13,"可提交","MP不足"))</x:f>
        <x:v>可提交</x:v>
      </x:c>
      <x:c r="H13" s="30" t="n">
        <x:f>IF(G13="可提交",F13-D13,F13)</x:f>
        <x:v>22</x:v>
      </x:c>
      <x:c r="I13" s="30" t="n">
        <x:f>IF(G13="可提交",IF(INDEX('玩家技能'!$G$7:$G$17,MATCH(B13,'玩家技能'!$A$7:$A$17,0))="直接伤害",ROUND(INDEX('玩家技能'!$F$7:$F$17,MATCH(B13,'玩家技能'!$A$7:$A$17,0))*E13,0)*IF(B13="ATK_SWEEP",$C$7,1),0),0)</x:f>
        <x:v>20</x:v>
      </x:c>
      <x:c r="J13" s="30" t="n">
        <x:f>IF(G13="可提交",IF(INDEX('玩家技能'!$G$7:$G$17,MATCH(B13,'玩家技能'!$A$7:$A$17,0))="即时治疗",ROUND(INDEX('玩家技能'!$F$7:$F$17,MATCH(B13,'玩家技能'!$A$7:$A$17,0))*E13,0),0),0)</x:f>
        <x:v>0</x:v>
      </x:c>
      <x:c r="K13" s="30" t="n">
        <x:f>IF(G13="可提交",IF(INDEX('玩家技能'!$G$7:$G$17,MATCH(B13,'玩家技能'!$A$7:$A$17,0))="护盾",ROUND(INDEX('玩家技能'!$F$7:$F$17,MATCH(B13,'玩家技能'!$A$7:$A$17,0))*E13,0),0),0)</x:f>
        <x:v>0</x:v>
      </x:c>
      <x:c r="L13" s="30" t="n">
        <x:f>IF(G13="可提交",IF(INDEX('玩家技能'!$G$7:$G$17,MATCH(B13,'玩家技能'!$A$7:$A$17,0))="下轮回蓝",MIN('基础规则'!$B$10,ROUND(INDEX('玩家技能'!$F$7:$F$17,MATCH(B13,'玩家技能'!$A$7:$A$17,0))*E13,0)),0),0)</x:f>
        <x:v>0</x:v>
      </x:c>
      <x:c r="M13" s="21" t="str">
        <x:f>IF(G13="可提交",INDEX('玩家技能'!$G$7:$G$17,MATCH(B13,'玩家技能'!$A$7:$A$17,0)),"")</x:f>
        <x:v>直接伤害</x:v>
      </x:c>
    </x:row>
    <x:row r="14" ht="39" customHeight="1">
      <x:c r="A14" s="3" t="n">
        <x:v>2</x:v>
      </x:c>
      <x:c r="B14" s="27" t="str">
        <x:v>ATK_HEAVY</x:v>
      </x:c>
      <x:c r="C14" s="28" t="n">
        <x:v>1</x:v>
      </x:c>
      <x:c r="D14" s="30" t="n">
        <x:f>IF(B14="结束",0,INDEX('玩家技能'!$E$7:$E$17,MATCH(B14,'玩家技能'!$A$7:$A$17,0)))</x:f>
        <x:v>8</x:v>
      </x:c>
      <x:c r="E14" s="29" t="n">
        <x:f>INDEX('基础规则'!$C$16:$C$20,MATCH(MAX(-2,MIN(2,C14)),'基础规则'!$A$16:$A$20,0))</x:f>
        <x:v>1.2</x:v>
      </x:c>
      <x:c r="F14" s="30" t="n">
        <x:f>H13</x:f>
        <x:v>22</x:v>
      </x:c>
      <x:c r="G14" s="21" t="str">
        <x:f>IF(OR(G13="结束",G13="未执行"),"未执行",IF(B14="结束","结束",IF(D14&lt;=F14,"可提交","MP不足")))</x:f>
        <x:v>可提交</x:v>
      </x:c>
      <x:c r="H14" s="30" t="n">
        <x:f>IF(G14="可提交",F14-D14,F14)</x:f>
        <x:v>14</x:v>
      </x:c>
      <x:c r="I14" s="30" t="n">
        <x:f>IF(G14="可提交",IF(INDEX('玩家技能'!$G$7:$G$17,MATCH(B14,'玩家技能'!$A$7:$A$17,0))="直接伤害",ROUND(INDEX('玩家技能'!$F$7:$F$17,MATCH(B14,'玩家技能'!$A$7:$A$17,0))*E14,0)*IF(B14="ATK_SWEEP",$C$7,1),0),0)</x:f>
        <x:v>24</x:v>
      </x:c>
      <x:c r="J14" s="30" t="n">
        <x:f>IF(G14="可提交",IF(INDEX('玩家技能'!$G$7:$G$17,MATCH(B14,'玩家技能'!$A$7:$A$17,0))="即时治疗",ROUND(INDEX('玩家技能'!$F$7:$F$17,MATCH(B14,'玩家技能'!$A$7:$A$17,0))*E14,0),0),0)</x:f>
        <x:v>0</x:v>
      </x:c>
      <x:c r="K14" s="30" t="n">
        <x:f>IF(G14="可提交",IF(INDEX('玩家技能'!$G$7:$G$17,MATCH(B14,'玩家技能'!$A$7:$A$17,0))="护盾",ROUND(INDEX('玩家技能'!$F$7:$F$17,MATCH(B14,'玩家技能'!$A$7:$A$17,0))*E14,0),0),0)</x:f>
        <x:v>0</x:v>
      </x:c>
      <x:c r="L14" s="30" t="n">
        <x:f>IF(G14="可提交",IF(INDEX('玩家技能'!$G$7:$G$17,MATCH(B14,'玩家技能'!$A$7:$A$17,0))="下轮回蓝",MIN('基础规则'!$B$10,ROUND(INDEX('玩家技能'!$F$7:$F$17,MATCH(B14,'玩家技能'!$A$7:$A$17,0))*E14,0)),0),0)</x:f>
        <x:v>0</x:v>
      </x:c>
      <x:c r="M14" s="21" t="str">
        <x:f>IF(G14="可提交",INDEX('玩家技能'!$G$7:$G$17,MATCH(B14,'玩家技能'!$A$7:$A$17,0)),"")</x:f>
        <x:v>直接伤害</x:v>
      </x:c>
    </x:row>
    <x:row r="15" ht="39" customHeight="1">
      <x:c r="A15" s="3" t="n">
        <x:v>3</x:v>
      </x:c>
      <x:c r="B15" s="27" t="str">
        <x:v>DEF_SHIELD</x:v>
      </x:c>
      <x:c r="C15" s="28" t="n">
        <x:v>0</x:v>
      </x:c>
      <x:c r="D15" s="30" t="n">
        <x:f>IF(B15="结束",0,INDEX('玩家技能'!$E$7:$E$17,MATCH(B15,'玩家技能'!$A$7:$A$17,0)))</x:f>
        <x:v>6</x:v>
      </x:c>
      <x:c r="E15" s="29" t="n">
        <x:f>INDEX('基础规则'!$C$16:$C$20,MATCH(MAX(-2,MIN(2,C15)),'基础规则'!$A$16:$A$20,0))</x:f>
        <x:v>1</x:v>
      </x:c>
      <x:c r="F15" s="30" t="n">
        <x:f>H14</x:f>
        <x:v>14</x:v>
      </x:c>
      <x:c r="G15" s="21" t="str">
        <x:f>IF(OR(G14="结束",G14="未执行"),"未执行",IF(B15="结束","结束",IF(D15&lt;=F15,"可提交","MP不足")))</x:f>
        <x:v>可提交</x:v>
      </x:c>
      <x:c r="H15" s="30" t="n">
        <x:f>IF(G15="可提交",F15-D15,F15)</x:f>
        <x:v>8</x:v>
      </x:c>
      <x:c r="I15" s="30" t="n">
        <x:f>IF(G15="可提交",IF(INDEX('玩家技能'!$G$7:$G$17,MATCH(B15,'玩家技能'!$A$7:$A$17,0))="直接伤害",ROUND(INDEX('玩家技能'!$F$7:$F$17,MATCH(B15,'玩家技能'!$A$7:$A$17,0))*E15,0)*IF(B15="ATK_SWEEP",$C$7,1),0),0)</x:f>
        <x:v>0</x:v>
      </x:c>
      <x:c r="J15" s="30" t="n">
        <x:f>IF(G15="可提交",IF(INDEX('玩家技能'!$G$7:$G$17,MATCH(B15,'玩家技能'!$A$7:$A$17,0))="即时治疗",ROUND(INDEX('玩家技能'!$F$7:$F$17,MATCH(B15,'玩家技能'!$A$7:$A$17,0))*E15,0),0),0)</x:f>
        <x:v>0</x:v>
      </x:c>
      <x:c r="K15" s="30" t="n">
        <x:f>IF(G15="可提交",IF(INDEX('玩家技能'!$G$7:$G$17,MATCH(B15,'玩家技能'!$A$7:$A$17,0))="护盾",ROUND(INDEX('玩家技能'!$F$7:$F$17,MATCH(B15,'玩家技能'!$A$7:$A$17,0))*E15,0),0),0)</x:f>
        <x:v>18</x:v>
      </x:c>
      <x:c r="L15" s="30" t="n">
        <x:f>IF(G15="可提交",IF(INDEX('玩家技能'!$G$7:$G$17,MATCH(B15,'玩家技能'!$A$7:$A$17,0))="下轮回蓝",MIN('基础规则'!$B$10,ROUND(INDEX('玩家技能'!$F$7:$F$17,MATCH(B15,'玩家技能'!$A$7:$A$17,0))*E15,0)),0),0)</x:f>
        <x:v>0</x:v>
      </x:c>
      <x:c r="M15" s="21" t="str">
        <x:f>IF(G15="可提交",INDEX('玩家技能'!$G$7:$G$17,MATCH(B15,'玩家技能'!$A$7:$A$17,0)),"")</x:f>
        <x:v>护盾</x:v>
      </x:c>
    </x:row>
    <x:row r="16" ht="39" customHeight="1">
      <x:c r="A16" s="3" t="n">
        <x:v>4</x:v>
      </x:c>
      <x:c r="B16" s="27" t="str">
        <x:v>MP_BREATH</x:v>
      </x:c>
      <x:c r="C16" s="28" t="n">
        <x:v>0</x:v>
      </x:c>
      <x:c r="D16" s="30" t="n">
        <x:f>IF(B16="结束",0,INDEX('玩家技能'!$E$7:$E$17,MATCH(B16,'玩家技能'!$A$7:$A$17,0)))</x:f>
        <x:v>4</x:v>
      </x:c>
      <x:c r="E16" s="29" t="n">
        <x:f>INDEX('基础规则'!$C$16:$C$20,MATCH(MAX(-2,MIN(2,C16)),'基础规则'!$A$16:$A$20,0))</x:f>
        <x:v>1</x:v>
      </x:c>
      <x:c r="F16" s="30" t="n">
        <x:f>H15</x:f>
        <x:v>8</x:v>
      </x:c>
      <x:c r="G16" s="21" t="str">
        <x:f>IF(OR(G15="结束",G15="未执行"),"未执行",IF(B16="结束","结束",IF(D16&lt;=F16,"可提交","MP不足")))</x:f>
        <x:v>可提交</x:v>
      </x:c>
      <x:c r="H16" s="30" t="n">
        <x:f>IF(G16="可提交",F16-D16,F16)</x:f>
        <x:v>4</x:v>
      </x:c>
      <x:c r="I16" s="30" t="n">
        <x:f>IF(G16="可提交",IF(INDEX('玩家技能'!$G$7:$G$17,MATCH(B16,'玩家技能'!$A$7:$A$17,0))="直接伤害",ROUND(INDEX('玩家技能'!$F$7:$F$17,MATCH(B16,'玩家技能'!$A$7:$A$17,0))*E16,0)*IF(B16="ATK_SWEEP",$C$7,1),0),0)</x:f>
        <x:v>0</x:v>
      </x:c>
      <x:c r="J16" s="30" t="n">
        <x:f>IF(G16="可提交",IF(INDEX('玩家技能'!$G$7:$G$17,MATCH(B16,'玩家技能'!$A$7:$A$17,0))="即时治疗",ROUND(INDEX('玩家技能'!$F$7:$F$17,MATCH(B16,'玩家技能'!$A$7:$A$17,0))*E16,0),0),0)</x:f>
        <x:v>0</x:v>
      </x:c>
      <x:c r="K16" s="30" t="n">
        <x:f>IF(G16="可提交",IF(INDEX('玩家技能'!$G$7:$G$17,MATCH(B16,'玩家技能'!$A$7:$A$17,0))="护盾",ROUND(INDEX('玩家技能'!$F$7:$F$17,MATCH(B16,'玩家技能'!$A$7:$A$17,0))*E16,0),0),0)</x:f>
        <x:v>0</x:v>
      </x:c>
      <x:c r="L16" s="30" t="n">
        <x:f>IF(G16="可提交",IF(INDEX('玩家技能'!$G$7:$G$17,MATCH(B16,'玩家技能'!$A$7:$A$17,0))="下轮回蓝",MIN('基础规则'!$B$10,ROUND(INDEX('玩家技能'!$F$7:$F$17,MATCH(B16,'玩家技能'!$A$7:$A$17,0))*E16,0)),0),0)</x:f>
        <x:v>8</x:v>
      </x:c>
      <x:c r="M16" s="21" t="str">
        <x:f>IF(G16="可提交",INDEX('玩家技能'!$G$7:$G$17,MATCH(B16,'玩家技能'!$A$7:$A$17,0)),"")</x:f>
        <x:v>下轮回蓝</x:v>
      </x:c>
    </x:row>
    <x:row r="17" ht="39" customHeight="1">
      <x:c r="A17" s="3" t="n">
        <x:v>5</x:v>
      </x:c>
      <x:c r="B17" s="27" t="str">
        <x:v>ATK_BASIC</x:v>
      </x:c>
      <x:c r="C17" s="28" t="n">
        <x:v>0</x:v>
      </x:c>
      <x:c r="D17" s="30" t="n">
        <x:f>IF(B17="结束",0,INDEX('玩家技能'!$E$7:$E$17,MATCH(B17,'玩家技能'!$A$7:$A$17,0)))</x:f>
        <x:v>3</x:v>
      </x:c>
      <x:c r="E17" s="29" t="n">
        <x:f>INDEX('基础规则'!$C$16:$C$20,MATCH(MAX(-2,MIN(2,C17)),'基础规则'!$A$16:$A$20,0))</x:f>
        <x:v>1</x:v>
      </x:c>
      <x:c r="F17" s="30" t="n">
        <x:f>H16</x:f>
        <x:v>4</x:v>
      </x:c>
      <x:c r="G17" s="21" t="str">
        <x:f>IF(OR(G16="结束",G16="未执行"),"未执行",IF(B17="结束","结束",IF(D17&lt;=F17,"可提交","MP不足")))</x:f>
        <x:v>可提交</x:v>
      </x:c>
      <x:c r="H17" s="30" t="n">
        <x:f>IF(G17="可提交",F17-D17,F17)</x:f>
        <x:v>1</x:v>
      </x:c>
      <x:c r="I17" s="30" t="n">
        <x:f>IF(G17="可提交",IF(INDEX('玩家技能'!$G$7:$G$17,MATCH(B17,'玩家技能'!$A$7:$A$17,0))="直接伤害",ROUND(INDEX('玩家技能'!$F$7:$F$17,MATCH(B17,'玩家技能'!$A$7:$A$17,0))*E17,0)*IF(B17="ATK_SWEEP",$C$7,1),0),0)</x:f>
        <x:v>7</x:v>
      </x:c>
      <x:c r="J17" s="30" t="n">
        <x:f>IF(G17="可提交",IF(INDEX('玩家技能'!$G$7:$G$17,MATCH(B17,'玩家技能'!$A$7:$A$17,0))="即时治疗",ROUND(INDEX('玩家技能'!$F$7:$F$17,MATCH(B17,'玩家技能'!$A$7:$A$17,0))*E17,0),0),0)</x:f>
        <x:v>0</x:v>
      </x:c>
      <x:c r="K17" s="30" t="n">
        <x:f>IF(G17="可提交",IF(INDEX('玩家技能'!$G$7:$G$17,MATCH(B17,'玩家技能'!$A$7:$A$17,0))="护盾",ROUND(INDEX('玩家技能'!$F$7:$F$17,MATCH(B17,'玩家技能'!$A$7:$A$17,0))*E17,0),0),0)</x:f>
        <x:v>0</x:v>
      </x:c>
      <x:c r="L17" s="30" t="n">
        <x:f>IF(G17="可提交",IF(INDEX('玩家技能'!$G$7:$G$17,MATCH(B17,'玩家技能'!$A$7:$A$17,0))="下轮回蓝",MIN('基础规则'!$B$10,ROUND(INDEX('玩家技能'!$F$7:$F$17,MATCH(B17,'玩家技能'!$A$7:$A$17,0))*E17,0)),0),0)</x:f>
        <x:v>0</x:v>
      </x:c>
      <x:c r="M17" s="21" t="str">
        <x:f>IF(G17="可提交",INDEX('玩家技能'!$G$7:$G$17,MATCH(B17,'玩家技能'!$A$7:$A$17,0)),"")</x:f>
        <x:v>直接伤害</x:v>
      </x:c>
    </x:row>
    <x:row r="18" ht="39" customHeight="1">
      <x:c r="A18" s="3" t="n">
        <x:v>6</x:v>
      </x:c>
      <x:c r="B18" s="27" t="str">
        <x:v>结束</x:v>
      </x:c>
      <x:c r="C18" s="28" t="n">
        <x:v>0</x:v>
      </x:c>
      <x:c r="D18" s="30" t="n">
        <x:f>IF(B18="结束",0,INDEX('玩家技能'!$E$7:$E$17,MATCH(B18,'玩家技能'!$A$7:$A$17,0)))</x:f>
        <x:v>0</x:v>
      </x:c>
      <x:c r="E18" s="29" t="n">
        <x:f>INDEX('基础规则'!$C$16:$C$20,MATCH(MAX(-2,MIN(2,C18)),'基础规则'!$A$16:$A$20,0))</x:f>
        <x:v>1</x:v>
      </x:c>
      <x:c r="F18" s="30" t="n">
        <x:f>H17</x:f>
        <x:v>1</x:v>
      </x:c>
      <x:c r="G18" s="21" t="str">
        <x:f>IF(OR(G17="结束",G17="未执行"),"未执行",IF(B18="结束","结束",IF(D18&lt;=F18,"可提交","MP不足")))</x:f>
        <x:v>结束</x:v>
      </x:c>
      <x:c r="H18" s="30" t="n">
        <x:f>IF(G18="可提交",F18-D18,F18)</x:f>
        <x:v>1</x:v>
      </x:c>
      <x:c r="I18" s="30" t="n">
        <x:f>IF(G18="可提交",IF(INDEX('玩家技能'!$G$7:$G$17,MATCH(B18,'玩家技能'!$A$7:$A$17,0))="直接伤害",ROUND(INDEX('玩家技能'!$F$7:$F$17,MATCH(B18,'玩家技能'!$A$7:$A$17,0))*E18,0)*IF(B18="ATK_SWEEP",$C$7,1),0),0)</x:f>
        <x:v>0</x:v>
      </x:c>
      <x:c r="J18" s="30" t="n">
        <x:f>IF(G18="可提交",IF(INDEX('玩家技能'!$G$7:$G$17,MATCH(B18,'玩家技能'!$A$7:$A$17,0))="即时治疗",ROUND(INDEX('玩家技能'!$F$7:$F$17,MATCH(B18,'玩家技能'!$A$7:$A$17,0))*E18,0),0),0)</x:f>
        <x:v>0</x:v>
      </x:c>
      <x:c r="K18" s="30" t="n">
        <x:f>IF(G18="可提交",IF(INDEX('玩家技能'!$G$7:$G$17,MATCH(B18,'玩家技能'!$A$7:$A$17,0))="护盾",ROUND(INDEX('玩家技能'!$F$7:$F$17,MATCH(B18,'玩家技能'!$A$7:$A$17,0))*E18,0),0),0)</x:f>
        <x:v>0</x:v>
      </x:c>
      <x:c r="L18" s="30" t="n">
        <x:f>IF(G18="可提交",IF(INDEX('玩家技能'!$G$7:$G$17,MATCH(B18,'玩家技能'!$A$7:$A$17,0))="下轮回蓝",MIN('基础规则'!$B$10,ROUND(INDEX('玩家技能'!$F$7:$F$17,MATCH(B18,'玩家技能'!$A$7:$A$17,0))*E18,0)),0),0)</x:f>
        <x:v>0</x:v>
      </x:c>
      <x:c r="M18" s="21" t="str">
        <x:f>IF(G18="可提交",INDEX('玩家技能'!$G$7:$G$17,MATCH(B18,'玩家技能'!$A$7:$A$17,0)),"")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25" customHeight="1">
      <x:c r="A21" s="19" t="str">
        <x:v>预算结果</x:v>
      </x:c>
      <x:c r="B21" s="18"/>
      <x:c r="C21" s="18"/>
      <x:c r="D21" s="18"/>
      <x:c r="E21" s="18"/>
      <x:c r="F21" s="18"/>
      <x:c r="G21" s="3"/>
      <x:c r="H21" s="3"/>
      <x:c r="I21" s="3"/>
      <x:c r="J21" s="3"/>
      <x:c r="K21" s="3"/>
      <x:c r="L21" s="3"/>
      <x:c r="M21" s="3"/>
    </x:row>
    <x:row r="22" ht="37" customHeight="1">
      <x:c r="A22" s="3"/>
      <x:c r="B22" s="14" t="str">
        <x:v>已提交技能数</x:v>
      </x:c>
      <x:c r="C22" s="21" t="n">
        <x:f>COUNTIFS(G13:G18,"可提交")</x:f>
        <x:v>5</x:v>
      </x:c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37" customHeight="1">
      <x:c r="A23" s="3"/>
      <x:c r="B23" s="14" t="str">
        <x:v>已使用 MP</x:v>
      </x:c>
      <x:c r="C23" s="21" t="n">
        <x:f>$C$6-H18</x:f>
        <x:v>29</x:v>
      </x:c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37" customHeight="1">
      <x:c r="A24" s="3"/>
      <x:c r="B24" s="14" t="str">
        <x:v>回合剩余 MP</x:v>
      </x:c>
      <x:c r="C24" s="21" t="n">
        <x:f>H18</x:f>
        <x:v>1</x:v>
      </x:c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37" customHeight="1">
      <x:c r="A25" s="3"/>
      <x:c r="B25" s="14" t="str">
        <x:v>直接基础伤害合计</x:v>
      </x:c>
      <x:c r="C25" s="21" t="n">
        <x:f>SUM(I13:I18)</x:f>
        <x:v>51</x:v>
      </x:c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37" customHeight="1">
      <x:c r="A26" s="3"/>
      <x:c r="B26" s="14" t="str">
        <x:v>治疗后 HP（未受击）</x:v>
      </x:c>
      <x:c r="C26" s="21" t="n">
        <x:f>MIN('基础规则'!$B$7,$C$8+SUM(J13:J18))</x:f>
        <x:v>100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37" customHeight="1">
      <x:c r="A27" s="3"/>
      <x:c r="B27" s="14" t="str">
        <x:v>护盾总量（未受击）</x:v>
      </x:c>
      <x:c r="C27" s="21" t="n">
        <x:f>MIN('基础规则'!$B$11,$C$9+SUM(K13:K18))</x:f>
        <x:v>18</x:v>
      </x:c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37" customHeight="1">
      <x:c r="A28" s="3"/>
      <x:c r="B28" s="14" t="str">
        <x:v>下轮子孙额外回蓝</x:v>
      </x:c>
      <x:c r="C28" s="21" t="n">
        <x:f>MAX(L13:L18)</x:f>
        <x:v>8</x:v>
      </x:c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37" customHeight="1">
      <x:c r="A29" s="3"/>
      <x:c r="B29" s="14" t="str">
        <x:v>下轮开始可用 MP</x:v>
      </x:c>
      <x:c r="C29" s="21" t="n">
        <x:f>MIN('基础规则'!$B$8,C24+'基础规则'!$B$9+C28)</x:f>
        <x:v>21</x:v>
      </x:c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5" customHeight="1">
      <x:c r="A31" s="6" t="str">
        <x:v>生息、减伤与控制仅在说明列标识；它们不计入即时治疗 / 护盾 / 直接伤害的预算合计。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</x:sheetData>
  <x:conditionalFormatting sqref="G13:G18">
    <x:cfRule type="containsText" dxfId="0" priority="1" operator="containsText" text="MP不足"/>
  </x:conditionalFormatting>
  <x:dataValidations count="15">
    <x:dataValidation type="whole" operator="between" sqref="C6">
      <x:formula1>0</x:formula1>
      <x:formula2>999</x:formula2>
    </x:dataValidation>
    <x:dataValidation type="whole" operator="between" sqref="C7">
      <x:formula1>1</x:formula1>
      <x:formula2>3</x:formula2>
    </x:dataValidation>
    <x:dataValidation type="whole" operator="between" sqref="C8:C9">
      <x:formula1>0</x:formula1>
      <x:formula2>999</x:formula2>
    </x:dataValidation>
    <x:dataValidation type="list" sqref="B13">
      <x:formula1>"ATK_BASIC,ATK_HEAVY,ATK_SWEEP,DEF_SHIELD,DEF_GUARD,HEAL_DIRECT,HEAL_REGEN,MP_BREATH,MP_CLEANSE,CTRL_SEAL,CTRL_BIND,结束"</x:formula1>
    </x:dataValidation>
    <x:dataValidation type="whole" operator="between" sqref="C13">
      <x:formula1>-8</x:formula1>
      <x:formula2>8</x:formula2>
    </x:dataValidation>
    <x:dataValidation type="list" sqref="B14">
      <x:formula1>"ATK_BASIC,ATK_HEAVY,ATK_SWEEP,DEF_SHIELD,DEF_GUARD,HEAL_DIRECT,HEAL_REGEN,MP_BREATH,MP_CLEANSE,CTRL_SEAL,CTRL_BIND,结束"</x:formula1>
    </x:dataValidation>
    <x:dataValidation type="whole" operator="between" sqref="C14">
      <x:formula1>-8</x:formula1>
      <x:formula2>8</x:formula2>
    </x:dataValidation>
    <x:dataValidation type="list" sqref="B15">
      <x:formula1>"ATK_BASIC,ATK_HEAVY,ATK_SWEEP,DEF_SHIELD,DEF_GUARD,HEAL_DIRECT,HEAL_REGEN,MP_BREATH,MP_CLEANSE,CTRL_SEAL,CTRL_BIND,结束"</x:formula1>
    </x:dataValidation>
    <x:dataValidation type="whole" operator="between" sqref="C15">
      <x:formula1>-8</x:formula1>
      <x:formula2>8</x:formula2>
    </x:dataValidation>
    <x:dataValidation type="list" sqref="B16">
      <x:formula1>"ATK_BASIC,ATK_HEAVY,ATK_SWEEP,DEF_SHIELD,DEF_GUARD,HEAL_DIRECT,HEAL_REGEN,MP_BREATH,MP_CLEANSE,CTRL_SEAL,CTRL_BIND,结束"</x:formula1>
    </x:dataValidation>
    <x:dataValidation type="whole" operator="between" sqref="C16">
      <x:formula1>-8</x:formula1>
      <x:formula2>8</x:formula2>
    </x:dataValidation>
    <x:dataValidation type="list" sqref="B17">
      <x:formula1>"ATK_BASIC,ATK_HEAVY,ATK_SWEEP,DEF_SHIELD,DEF_GUARD,HEAL_DIRECT,HEAL_REGEN,MP_BREATH,MP_CLEANSE,CTRL_SEAL,CTRL_BIND,结束"</x:formula1>
    </x:dataValidation>
    <x:dataValidation type="whole" operator="between" sqref="C17">
      <x:formula1>-8</x:formula1>
      <x:formula2>8</x:formula2>
    </x:dataValidation>
    <x:dataValidation type="list" sqref="B18">
      <x:formula1>"ATK_BASIC,ATK_HEAVY,ATK_SWEEP,DEF_SHIELD,DEF_GUARD,HEAL_DIRECT,HEAL_REGEN,MP_BREATH,MP_CLEANSE,CTRL_SEAL,CTRL_BIND,结束"</x:formula1>
    </x:dataValidation>
    <x:dataValidation type="whole" operator="between" sqref="C18">
      <x:formula1>-8</x:formula1>
      <x:formula2>8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.5" hidden="0" customWidth="1"/>
    <x:col min="2" max="2" width="15" hidden="0" customWidth="1"/>
    <x:col min="3" max="3" width="10.630000114440918" hidden="0" customWidth="1"/>
    <x:col min="4" max="4" width="10" hidden="0" customWidth="1"/>
    <x:col min="5" max="5" width="11.25" hidden="0" customWidth="1"/>
    <x:col min="6" max="6" width="18.1299991607666" hidden="0" customWidth="1"/>
    <x:col min="7" max="7" width="13.130000114440918" hidden="0" customWidth="1"/>
    <x:col min="8" max="8" width="4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敌人技能与遭遇配置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6" t="str">
        <x:v>敌方每个存活单位每轮行动一次；意图在玩家回合开始时确定，基础数值不读取玩家卦象。</x:v>
      </x:c>
      <x:c r="B4" s="3"/>
      <x:c r="C4" s="3"/>
      <x:c r="D4" s="3"/>
      <x:c r="E4" s="3"/>
      <x:c r="F4" s="3"/>
      <x:c r="G4" s="3"/>
      <x:c r="H4" s="3"/>
    </x:row>
    <x:row r="5" ht="25" customHeight="1">
      <x:c r="A5" s="3"/>
      <x:c r="B5" s="3"/>
      <x:c r="C5" s="3"/>
      <x:c r="D5" s="3"/>
      <x:c r="E5" s="3"/>
      <x:c r="F5" s="3"/>
      <x:c r="G5" s="3"/>
      <x:c r="H5" s="3"/>
    </x:row>
    <x:row r="6" ht="32" customHeight="1">
      <x:c r="A6" s="11" t="str">
        <x:v>敌人 ID</x:v>
      </x:c>
      <x:c r="B6" s="12" t="str">
        <x:v>敌人</x:v>
      </x:c>
      <x:c r="C6" s="12" t="str">
        <x:v>HP</x:v>
      </x:c>
      <x:c r="D6" s="12" t="str">
        <x:v>最大 MP</x:v>
      </x:c>
      <x:c r="E6" s="12" t="str">
        <x:v>每轮回 MP</x:v>
      </x:c>
      <x:c r="F6" s="12" t="str">
        <x:v>定位</x:v>
      </x:c>
      <x:c r="G6" s="12" t="str">
        <x:v>抗眩晕</x:v>
      </x:c>
      <x:c r="H6" s="13" t="str">
        <x:v>规则</x:v>
      </x:c>
    </x:row>
    <x:row r="7" ht="53" customHeight="1">
      <x:c r="A7" s="14" t="str">
        <x:v>E01</x:v>
      </x:c>
      <x:c r="B7" s="14" t="str">
        <x:v>海蚀影</x:v>
      </x:c>
      <x:c r="C7" s="17" t="n">
        <x:v>60</x:v>
      </x:c>
      <x:c r="D7" s="17" t="n">
        <x:v>12</x:v>
      </x:c>
      <x:c r="E7" s="17" t="n">
        <x:v>4</x:v>
      </x:c>
      <x:c r="F7" s="14" t="str">
        <x:v>攻击型</x:v>
      </x:c>
      <x:c r="G7" s="14" t="str">
        <x:v>无</x:v>
      </x:c>
      <x:c r="H7" s="14" t="str">
        <x:v>普攻和重击。MP 回复在敌方阶段开始时触发</x:v>
      </x:c>
    </x:row>
    <x:row r="8" ht="53" customHeight="1">
      <x:c r="A8" s="14" t="str">
        <x:v>E02</x:v>
      </x:c>
      <x:c r="B8" s="14" t="str">
        <x:v>护壳体</x:v>
      </x:c>
      <x:c r="C8" s="17" t="n">
        <x:v>90</x:v>
      </x:c>
      <x:c r="D8" s="17" t="n">
        <x:v>12</x:v>
      </x:c>
      <x:c r="E8" s="17" t="n">
        <x:v>4</x:v>
      </x:c>
      <x:c r="F8" s="14" t="str">
        <x:v>防御型</x:v>
      </x:c>
      <x:c r="G8" s="14" t="str">
        <x:v>无</x:v>
      </x:c>
      <x:c r="H8" s="14" t="str">
        <x:v>生命 ≤ 70% 且护盾 &lt; 8 时可选择护盾</x:v>
      </x:c>
    </x:row>
    <x:row r="9" ht="53" customHeight="1">
      <x:c r="A9" s="14" t="str">
        <x:v>E03</x:v>
      </x:c>
      <x:c r="B9" s="14" t="str">
        <x:v>扰识体</x:v>
      </x:c>
      <x:c r="C9" s="17" t="n">
        <x:v>55</x:v>
      </x:c>
      <x:c r="D9" s="17" t="n">
        <x:v>12</x:v>
      </x:c>
      <x:c r="E9" s="17" t="n">
        <x:v>4</x:v>
      </x:c>
      <x:c r="F9" s="14" t="str">
        <x:v>干扰型</x:v>
      </x:c>
      <x:c r="G9" s="14" t="str">
        <x:v>无</x:v>
      </x:c>
      <x:c r="H9" s="14" t="str">
        <x:v>普攻和虚弱攻击</x:v>
      </x:c>
    </x:row>
    <x:row r="10" ht="53" customHeight="1">
      <x:c r="A10" s="14" t="str">
        <x:v>B01</x:v>
      </x:c>
      <x:c r="B10" s="14" t="str">
        <x:v>死海残响</x:v>
      </x:c>
      <x:c r="C10" s="17" t="n">
        <x:v>270</x:v>
      </x:c>
      <x:c r="D10" s="17" t="n">
        <x:v>20</x:v>
      </x:c>
      <x:c r="E10" s="17" t="n">
        <x:v>6</x:v>
      </x:c>
      <x:c r="F10" s="14" t="str">
        <x:v>首领</x:v>
      </x:c>
      <x:c r="G10" s="14" t="str">
        <x:v>降级为虚弱</x:v>
      </x:c>
      <x:c r="H10" s="14" t="str">
        <x:v>每轮仍只行动一次；治疗最多 2 次 / 场，眩晕变为虚弱 30%</x:v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</x:row>
    <x:row r="13" ht="25" customHeight="1">
      <x:c r="A13" s="19" t="str">
        <x:v>敌方技能与 AI 权重</x:v>
      </x:c>
      <x:c r="B13" s="18"/>
      <x:c r="C13" s="18"/>
      <x:c r="D13" s="18"/>
      <x:c r="E13" s="18"/>
      <x:c r="F13" s="18"/>
      <x:c r="G13" s="18"/>
      <x:c r="H13" s="18"/>
    </x:row>
    <x:row r="14" ht="32" customHeight="1">
      <x:c r="A14" s="11" t="str">
        <x:v>敌人 ID</x:v>
      </x:c>
      <x:c r="B14" s="12" t="str">
        <x:v>技能</x:v>
      </x:c>
      <x:c r="C14" s="12" t="str">
        <x:v>MP</x:v>
      </x:c>
      <x:c r="D14" s="12" t="str">
        <x:v>固定数值</x:v>
      </x:c>
      <x:c r="E14" s="12" t="str">
        <x:v>初始权重</x:v>
      </x:c>
      <x:c r="F14" s="12" t="str">
        <x:v>效果类型</x:v>
      </x:c>
      <x:c r="G14" s="12" t="str">
        <x:v>附加幅度</x:v>
      </x:c>
      <x:c r="H14" s="13" t="str">
        <x:v>可用条件 / 机制</x:v>
      </x:c>
    </x:row>
    <x:row r="15" ht="52" customHeight="1">
      <x:c r="A15" s="14" t="str">
        <x:v>E01</x:v>
      </x:c>
      <x:c r="B15" s="14" t="str">
        <x:v>侵蚀抓击</x:v>
      </x:c>
      <x:c r="C15" s="15" t="n">
        <x:v>0</x:v>
      </x:c>
      <x:c r="D15" s="15" t="n">
        <x:v>10</x:v>
      </x:c>
      <x:c r="E15" s="15" t="n">
        <x:v>70</x:v>
      </x:c>
      <x:c r="F15" s="14" t="str">
        <x:v>直接伤害</x:v>
      </x:c>
      <x:c r="G15" s="16" t="n">
        <x:v>0</x:v>
      </x:c>
      <x:c r="H15" s="14" t="str">
        <x:v>总是可用</x:v>
      </x:c>
    </x:row>
    <x:row r="16" ht="52" customHeight="1">
      <x:c r="A16" s="14" t="str">
        <x:v>E01</x:v>
      </x:c>
      <x:c r="B16" s="14" t="str">
        <x:v>撕裂重击</x:v>
      </x:c>
      <x:c r="C16" s="15" t="n">
        <x:v>6</x:v>
      </x:c>
      <x:c r="D16" s="15" t="n">
        <x:v>18</x:v>
      </x:c>
      <x:c r="E16" s="15" t="n">
        <x:v>30</x:v>
      </x:c>
      <x:c r="F16" s="14" t="str">
        <x:v>直接伤害</x:v>
      </x:c>
      <x:c r="G16" s="16" t="n">
        <x:v>0</x:v>
      </x:c>
      <x:c r="H16" s="14" t="str">
        <x:v>MP 足够时可用</x:v>
      </x:c>
    </x:row>
    <x:row r="17" ht="52" customHeight="1">
      <x:c r="A17" s="14" t="str">
        <x:v>E02</x:v>
      </x:c>
      <x:c r="B17" s="14" t="str">
        <x:v>壳击</x:v>
      </x:c>
      <x:c r="C17" s="15" t="n">
        <x:v>0</x:v>
      </x:c>
      <x:c r="D17" s="15" t="n">
        <x:v>12</x:v>
      </x:c>
      <x:c r="E17" s="15" t="n">
        <x:v>65</x:v>
      </x:c>
      <x:c r="F17" s="14" t="str">
        <x:v>直接伤害</x:v>
      </x:c>
      <x:c r="G17" s="16" t="n">
        <x:v>0</x:v>
      </x:c>
      <x:c r="H17" s="14" t="str">
        <x:v>总是可用</x:v>
      </x:c>
    </x:row>
    <x:row r="18" ht="52" customHeight="1">
      <x:c r="A18" s="14" t="str">
        <x:v>E02</x:v>
      </x:c>
      <x:c r="B18" s="14" t="str">
        <x:v>护壳</x:v>
      </x:c>
      <x:c r="C18" s="15" t="n">
        <x:v>6</x:v>
      </x:c>
      <x:c r="D18" s="15" t="n">
        <x:v>16</x:v>
      </x:c>
      <x:c r="E18" s="15" t="n">
        <x:v>35</x:v>
      </x:c>
      <x:c r="F18" s="14" t="str">
        <x:v>自身护盾</x:v>
      </x:c>
      <x:c r="G18" s="16" t="n">
        <x:v>0</x:v>
      </x:c>
      <x:c r="H18" s="14" t="str">
        <x:v>HP ≤ 70% 且护盾 &lt; 8；护盾覆盖下一玩家回合，下次敌方阶段开始清除</x:v>
      </x:c>
    </x:row>
    <x:row r="19" ht="52" customHeight="1">
      <x:c r="A19" s="14" t="str">
        <x:v>E03</x:v>
      </x:c>
      <x:c r="B19" s="14" t="str">
        <x:v>扰识冲击</x:v>
      </x:c>
      <x:c r="C19" s="15" t="n">
        <x:v>0</x:v>
      </x:c>
      <x:c r="D19" s="15" t="n">
        <x:v>8</x:v>
      </x:c>
      <x:c r="E19" s="15" t="n">
        <x:v>70</x:v>
      </x:c>
      <x:c r="F19" s="14" t="str">
        <x:v>直接伤害</x:v>
      </x:c>
      <x:c r="G19" s="16" t="n">
        <x:v>0</x:v>
      </x:c>
      <x:c r="H19" s="14" t="str">
        <x:v>总是可用</x:v>
      </x:c>
    </x:row>
    <x:row r="20" ht="52" customHeight="1">
      <x:c r="A20" s="14" t="str">
        <x:v>E03</x:v>
      </x:c>
      <x:c r="B20" s="14" t="str">
        <x:v>蚀念</x:v>
      </x:c>
      <x:c r="C20" s="15" t="n">
        <x:v>6</x:v>
      </x:c>
      <x:c r="D20" s="15" t="n">
        <x:v>6</x:v>
      </x:c>
      <x:c r="E20" s="15" t="n">
        <x:v>30</x:v>
      </x:c>
      <x:c r="F20" s="14" t="str">
        <x:v>伤害 + 虚弱</x:v>
      </x:c>
      <x:c r="G20" s="16" t="n">
        <x:v>0.2</x:v>
      </x:c>
      <x:c r="H20" s="14" t="str">
        <x:v>玩家下一回合伤害降低 20%，到该玩家回合结束时移除</x:v>
      </x:c>
    </x:row>
    <x:row r="21" ht="52" customHeight="1">
      <x:c r="A21" s="14" t="str">
        <x:v>B01</x:v>
      </x:c>
      <x:c r="B21" s="14" t="str">
        <x:v>海潮</x:v>
      </x:c>
      <x:c r="C21" s="15" t="n">
        <x:v>0</x:v>
      </x:c>
      <x:c r="D21" s="15" t="n">
        <x:v>18</x:v>
      </x:c>
      <x:c r="E21" s="15" t="n">
        <x:v>50</x:v>
      </x:c>
      <x:c r="F21" s="14" t="str">
        <x:v>直接伤害</x:v>
      </x:c>
      <x:c r="G21" s="16" t="n">
        <x:v>0</x:v>
      </x:c>
      <x:c r="H21" s="14" t="str">
        <x:v>总是可用</x:v>
      </x:c>
    </x:row>
    <x:row r="22" ht="52" customHeight="1">
      <x:c r="A22" s="14" t="str">
        <x:v>B01</x:v>
      </x:c>
      <x:c r="B22" s="14" t="str">
        <x:v>断界</x:v>
      </x:c>
      <x:c r="C22" s="15" t="n">
        <x:v>8</x:v>
      </x:c>
      <x:c r="D22" s="15" t="n">
        <x:v>30</x:v>
      </x:c>
      <x:c r="E22" s="15" t="n">
        <x:v>35</x:v>
      </x:c>
      <x:c r="F22" s="14" t="str">
        <x:v>直接伤害</x:v>
      </x:c>
      <x:c r="G22" s="16" t="n">
        <x:v>0</x:v>
      </x:c>
      <x:c r="H22" s="14" t="str">
        <x:v>MP 足够时可用</x:v>
      </x:c>
    </x:row>
    <x:row r="23" ht="52" customHeight="1">
      <x:c r="A23" s="14" t="str">
        <x:v>B01</x:v>
      </x:c>
      <x:c r="B23" s="14" t="str">
        <x:v>重聚</x:v>
      </x:c>
      <x:c r="C23" s="15" t="n">
        <x:v>8</x:v>
      </x:c>
      <x:c r="D23" s="15" t="n">
        <x:v>24</x:v>
      </x:c>
      <x:c r="E23" s="15" t="n">
        <x:v>15</x:v>
      </x:c>
      <x:c r="F23" s="14" t="str">
        <x:v>自身治疗</x:v>
      </x:c>
      <x:c r="G23" s="16" t="n">
        <x:v>0</x:v>
      </x:c>
      <x:c r="H23" s="14" t="str">
        <x:v>HP ≤ 35% 且本场使用少于 2 次</x:v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3"/>
    </x:row>
    <x:row r="25" ht="25" customHeight="1">
      <x:c r="A25" s="6" t="str">
        <x:v>权重只在可用技能中归一化。因沉默使计划技能不可用时改为普攻，不额外起卦或增加行动次数。</x:v>
      </x:c>
      <x:c r="B25" s="3"/>
      <x:c r="C25" s="3"/>
      <x:c r="D25" s="3"/>
      <x:c r="E25" s="3"/>
      <x:c r="F25" s="3"/>
      <x:c r="G25" s="3"/>
      <x:c r="H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</x:row>
    <x:row r="28" ht="25" customHeight="1">
      <x:c r="A28" s="19" t="str">
        <x:v>首批遭遇</x:v>
      </x:c>
      <x:c r="B28" s="18"/>
      <x:c r="C28" s="18"/>
      <x:c r="D28" s="18"/>
      <x:c r="E28" s="18"/>
      <x:c r="F28" s="18"/>
      <x:c r="G28" s="18"/>
      <x:c r="H28" s="18"/>
    </x:row>
    <x:row r="29" ht="32" customHeight="1">
      <x:c r="A29" s="11" t="str">
        <x:v>遭遇 ID</x:v>
      </x:c>
      <x:c r="B29" s="12" t="str">
        <x:v>名称</x:v>
      </x:c>
      <x:c r="C29" s="12" t="str">
        <x:v>敌人数</x:v>
      </x:c>
      <x:c r="D29" s="12" t="str">
        <x:v>敌方总 HP</x:v>
      </x:c>
      <x:c r="E29" s="12" t="str">
        <x:v>基础普攻总伤</x:v>
      </x:c>
      <x:c r="F29" s="12" t="str">
        <x:v>组合</x:v>
      </x:c>
      <x:c r="G29" s="12" t="str">
        <x:v>目标玩家回合数</x:v>
      </x:c>
      <x:c r="H29" s="13" t="str">
        <x:v>配置说明</x:v>
      </x:c>
    </x:row>
    <x:row r="30" ht="65" customHeight="1">
      <x:c r="A30" s="14" t="str">
        <x:v>ENC01</x:v>
      </x:c>
      <x:c r="B30" s="14" t="str">
        <x:v>教学单敌</x:v>
      </x:c>
      <x:c r="C30" s="14" t="n">
        <x:v>1</x:v>
      </x:c>
      <x:c r="D30" s="26" t="n">
        <x:f>$B$38</x:f>
        <x:v>100</x:v>
      </x:c>
      <x:c r="E30" s="26" t="n">
        <x:f>D15</x:f>
        <x:v>10</x:v>
      </x:c>
      <x:c r="F30" s="14" t="str">
        <x:v>E01 × 1</x:v>
      </x:c>
      <x:c r="G30" s="14" t="str">
        <x:v>2～3</x:v>
      </x:c>
      <x:c r="H30" s="14" t="str">
        <x:v>教学海蚀影 HP 覆盖为 100。极高卦势 / 物品可能提前结束</x:v>
      </x:c>
    </x:row>
    <x:row r="31" ht="65" customHeight="1">
      <x:c r="A31" s="14" t="str">
        <x:v>ENC02</x:v>
      </x:c>
      <x:c r="B31" s="14" t="str">
        <x:v>攻击与干扰</x:v>
      </x:c>
      <x:c r="C31" s="14" t="n">
        <x:v>2</x:v>
      </x:c>
      <x:c r="D31" s="26" t="n">
        <x:f>C7+C9</x:f>
        <x:v>115</x:v>
      </x:c>
      <x:c r="E31" s="26" t="n">
        <x:f>D15+D19</x:f>
        <x:v>18</x:v>
      </x:c>
      <x:c r="F31" s="14" t="str">
        <x:v>E01 + E03</x:v>
      </x:c>
      <x:c r="G31" s="14" t="str">
        <x:v>3～4</x:v>
      </x:c>
      <x:c r="H31" s="14" t="str">
        <x:v>鼓励先击败干扰敌人或沉默其耗 MP 技能</x:v>
      </x:c>
    </x:row>
    <x:row r="32" ht="65" customHeight="1">
      <x:c r="A32" s="14" t="str">
        <x:v>ENC03</x:v>
      </x:c>
      <x:c r="B32" s="14" t="str">
        <x:v>三敌遭遇</x:v>
      </x:c>
      <x:c r="C32" s="14" t="n">
        <x:v>3</x:v>
      </x:c>
      <x:c r="D32" s="26" t="n">
        <x:f>C7*2+C9</x:f>
        <x:v>175</x:v>
      </x:c>
      <x:c r="E32" s="26" t="n">
        <x:f>D15*2+D19</x:f>
        <x:v>28</x:v>
      </x:c>
      <x:c r="F32" s="14" t="str">
        <x:v>E01 × 2 + E03</x:v>
      </x:c>
      <x:c r="G32" s="14" t="str">
        <x:v>3～5</x:v>
      </x:c>
      <x:c r="H32" s="14" t="str">
        <x:v>范围攻击、护盾、回蓝和击杀顺序共同起作用</x:v>
      </x:c>
    </x:row>
    <x:row r="33" ht="65" customHeight="1">
      <x:c r="A33" s="14" t="str">
        <x:v>ENC04</x:v>
      </x:c>
      <x:c r="B33" s="14" t="str">
        <x:v>防御遭遇</x:v>
      </x:c>
      <x:c r="C33" s="14" t="n">
        <x:v>2</x:v>
      </x:c>
      <x:c r="D33" s="26" t="n">
        <x:f>C8+C7</x:f>
        <x:v>150</x:v>
      </x:c>
      <x:c r="E33" s="26" t="n">
        <x:f>D17+D15</x:f>
        <x:v>22</x:v>
      </x:c>
      <x:c r="F33" s="14" t="str">
        <x:v>E02 + E01</x:v>
      </x:c>
      <x:c r="G33" s="14" t="str">
        <x:v>3～5</x:v>
      </x:c>
      <x:c r="H33" s="14" t="str">
        <x:v>优先消灭攻击者，或集中突破护壳</x:v>
      </x:c>
    </x:row>
    <x:row r="34" ht="65" customHeight="1">
      <x:c r="A34" s="14" t="str">
        <x:v>ENC05</x:v>
      </x:c>
      <x:c r="B34" s="14" t="str">
        <x:v>首领</x:v>
      </x:c>
      <x:c r="C34" s="14" t="n">
        <x:v>1</x:v>
      </x:c>
      <x:c r="D34" s="26" t="n">
        <x:f>C10</x:f>
        <x:v>270</x:v>
      </x:c>
      <x:c r="E34" s="26" t="n">
        <x:f>D21</x:f>
        <x:v>18</x:v>
      </x:c>
      <x:c r="F34" s="14" t="str">
        <x:v>B01 × 1</x:v>
      </x:c>
      <x:c r="G34" s="14" t="str">
        <x:v>5～8</x:v>
      </x:c>
      <x:c r="H34" s="14" t="str">
        <x:v>治疗、回蓝、减伤与有限物品参与；回合数仅为试玩目标</x:v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 t="str">
        <x:v>教学敌人 HP 覆盖</x:v>
      </x:c>
      <x:c r="B38" s="28" t="n">
        <x:v>100</x:v>
      </x:c>
      <x:c r="C38" s="3"/>
      <x:c r="D38" s="3"/>
      <x:c r="E38" s="3"/>
      <x:c r="F38" s="3"/>
      <x:c r="G38" s="3"/>
      <x:c r="H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</x:row>
    <x:row r="41" ht="25" customHeight="1">
      <x:c r="A41" s="6" t="str">
        <x:v>基础普攻总伤：所有敌人存活且均使用普攻时的原始伤害，不是随机 AI 的平均伤害。</x:v>
      </x:c>
      <x:c r="B41" s="3"/>
      <x:c r="C41" s="3"/>
      <x:c r="D41" s="3"/>
      <x:c r="E41" s="3"/>
      <x:c r="F41" s="3"/>
      <x:c r="G41" s="3"/>
      <x:c r="H41" s="3"/>
    </x:row>
    <x:row r="42" ht="25" customHeight="1">
      <x:c r="A42" s="6" t="str">
        <x:v>目标回合数为设计目标，尚未通过真实排盘概率与战斗 AI 模拟验证。</x:v>
      </x:c>
      <x:c r="B42" s="3"/>
      <x:c r="C42" s="3"/>
      <x:c r="D42" s="3"/>
      <x:c r="E42" s="3"/>
      <x:c r="F42" s="3"/>
      <x:c r="G42" s="3"/>
      <x:c r="H42" s="3"/>
    </x:row>
    <x:row r="43" ht="25" customHeight="1">
      <x:c r="A43" s="6" t="str">
        <x:v>敌方减益在伤害结算时生效，不回写敌人基础技能数值，也不重新选择意图。</x:v>
      </x:c>
      <x:c r="B43" s="3"/>
      <x:c r="C43" s="3"/>
      <x:c r="D43" s="3"/>
      <x:c r="E43" s="3"/>
      <x:c r="F43" s="3"/>
      <x:c r="G43" s="3"/>
      <x:c r="H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</x:row>
  </x:sheetData>
  <x:dataValidations count="2">
    <x:dataValidation type="whole" operator="between" sqref="C7:E10">
      <x:formula1>1</x:formula1>
      <x:formula2>999</x:formula2>
    </x:dataValidation>
    <x:dataValidation type="whole" operator="between" sqref="B38">
      <x:formula1>1</x:formula1>
      <x:formula2>999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5" hidden="0" customWidth="1"/>
    <x:col min="3" max="3" width="10" hidden="0" customWidth="1"/>
    <x:col min="4" max="4" width="13.130000114440918" hidden="0" customWidth="1"/>
    <x:col min="5" max="5" width="13.130000114440918" hidden="0" customWidth="1"/>
    <x:col min="6" max="6" width="16.25" hidden="0" customWidth="1"/>
    <x:col min="7" max="7" width="52.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</x:row>
    <x:row r="2" ht="30" customHeight="1">
      <x:c r="A2" s="4" t="str">
        <x:v>战斗道具基础数值</x:v>
      </x:c>
      <x:c r="B2" s="3"/>
      <x:c r="C2" s="3"/>
      <x:c r="D2" s="3"/>
      <x:c r="E2" s="3"/>
      <x:c r="F2" s="3"/>
      <x:c r="G2" s="3"/>
    </x:row>
    <x:row r="3" ht="25" customHeight="1">
      <x:c r="A3" s="5"/>
      <x:c r="B3" s="5"/>
      <x:c r="C3" s="5"/>
      <x:c r="D3" s="5"/>
      <x:c r="E3" s="5"/>
      <x:c r="F3" s="5"/>
      <x:c r="G3" s="5"/>
    </x:row>
    <x:row r="4" ht="25" customHeight="1">
      <x:c r="A4" s="6" t="str">
        <x:v>物品不耗 MP、不起卦、不结束玩家回合。每次扣 1 件，使用次数由实际背包数量限制。</x:v>
      </x:c>
      <x:c r="B4" s="3"/>
      <x:c r="C4" s="3"/>
      <x:c r="D4" s="3"/>
      <x:c r="E4" s="3"/>
      <x:c r="F4" s="3"/>
      <x:c r="G4" s="3"/>
    </x:row>
    <x:row r="5" ht="25" customHeight="1">
      <x:c r="A5" s="3"/>
      <x:c r="B5" s="3"/>
      <x:c r="C5" s="3"/>
      <x:c r="D5" s="3"/>
      <x:c r="E5" s="3"/>
      <x:c r="F5" s="3"/>
      <x:c r="G5" s="3"/>
    </x:row>
    <x:row r="6" ht="32" customHeight="1">
      <x:c r="A6" s="11" t="str">
        <x:v>物品 ID</x:v>
      </x:c>
      <x:c r="B6" s="12" t="str">
        <x:v>名称</x:v>
      </x:c>
      <x:c r="C6" s="12" t="str">
        <x:v>每次消耗</x:v>
      </x:c>
      <x:c r="D6" s="12" t="str">
        <x:v>固定数值</x:v>
      </x:c>
      <x:c r="E6" s="12" t="str">
        <x:v>数值类型</x:v>
      </x:c>
      <x:c r="F6" s="12" t="str">
        <x:v>目标</x:v>
      </x:c>
      <x:c r="G6" s="13" t="str">
        <x:v>机制</x:v>
      </x:c>
    </x:row>
    <x:row r="7" ht="52" customHeight="1">
      <x:c r="A7" s="14" t="str">
        <x:v>ITEM_MED</x:v>
      </x:c>
      <x:c r="B7" s="14" t="str">
        <x:v>医疗包</x:v>
      </x:c>
      <x:c r="C7" s="17" t="n">
        <x:v>1</x:v>
      </x:c>
      <x:c r="D7" s="17" t="n">
        <x:v>35</x:v>
      </x:c>
      <x:c r="E7" s="14" t="str">
        <x:v>恢复 HP</x:v>
      </x:c>
      <x:c r="F7" s="14" t="str">
        <x:v>自身</x:v>
      </x:c>
      <x:c r="G7" s="14" t="str">
        <x:v>立即恢复，生命不超过上限</x:v>
      </x:c>
    </x:row>
    <x:row r="8" ht="52" customHeight="1">
      <x:c r="A8" s="14" t="str">
        <x:v>ITEM_MP</x:v>
      </x:c>
      <x:c r="B8" s="14" t="str">
        <x:v>凝神剂</x:v>
      </x:c>
      <x:c r="C8" s="17" t="n">
        <x:v>1</x:v>
      </x:c>
      <x:c r="D8" s="17" t="n">
        <x:v>12</x:v>
      </x:c>
      <x:c r="E8" s="14" t="str">
        <x:v>恢复 MP</x:v>
      </x:c>
      <x:c r="F8" s="14" t="str">
        <x:v>自身</x:v>
      </x:c>
      <x:c r="G8" s="14" t="str">
        <x:v>立即增加当前可用 MP，可继续施法；不超过 MP 上限</x:v>
      </x:c>
    </x:row>
    <x:row r="9" ht="52" customHeight="1">
      <x:c r="A9" s="14" t="str">
        <x:v>ITEM_CLEAN</x:v>
      </x:c>
      <x:c r="B9" s="14" t="str">
        <x:v>驱秽符</x:v>
      </x:c>
      <x:c r="C9" s="17" t="n">
        <x:v>1</x:v>
      </x:c>
      <x:c r="D9" s="17" t="n">
        <x:v>1</x:v>
      </x:c>
      <x:c r="E9" s="14" t="str">
        <x:v>全净化开关</x:v>
      </x:c>
      <x:c r="F9" s="14" t="str">
        <x:v>自身</x:v>
      </x:c>
      <x:c r="G9" s="14" t="str">
        <x:v>解除全部可净化负面状态；数值 1 表示启用全净化</x:v>
      </x:c>
    </x:row>
    <x:row r="10" ht="52" customHeight="1">
      <x:c r="A10" s="14" t="str">
        <x:v>ITEM_BLAST</x:v>
      </x:c>
      <x:c r="B10" s="14" t="str">
        <x:v>散灵符</x:v>
      </x:c>
      <x:c r="C10" s="17" t="n">
        <x:v>1</x:v>
      </x:c>
      <x:c r="D10" s="17" t="n">
        <x:v>10</x:v>
      </x:c>
      <x:c r="E10" s="14" t="str">
        <x:v>每目标伤害</x:v>
      </x:c>
      <x:c r="F10" s="14" t="str">
        <x:v>全部敌人</x:v>
      </x:c>
      <x:c r="G10" s="14" t="str">
        <x:v>每个存活敌人受到 10 点基础伤害，受已有易伤修正，不受卦势影响</x:v>
      </x:c>
    </x:row>
    <x:row r="11" ht="25" customHeight="1">
      <x:c r="A11" s="3"/>
      <x:c r="B11" s="3"/>
      <x:c r="C11" s="3"/>
      <x:c r="D11" s="3"/>
      <x:c r="E11" s="3"/>
      <x:c r="F11" s="3"/>
      <x:c r="G11" s="3"/>
    </x:row>
    <x:row r="12" ht="25" customHeight="1">
      <x:c r="A12" s="3"/>
      <x:c r="B12" s="3"/>
      <x:c r="C12" s="3"/>
      <x:c r="D12" s="3"/>
      <x:c r="E12" s="3"/>
      <x:c r="F12" s="3"/>
      <x:c r="G12" s="3"/>
    </x:row>
    <x:row r="13" ht="25" customHeight="1">
      <x:c r="A13" s="19" t="str">
        <x:v>试玩新开局初始背包</x:v>
      </x:c>
      <x:c r="B13" s="18"/>
      <x:c r="C13" s="18"/>
      <x:c r="D13" s="18"/>
      <x:c r="E13" s="18"/>
      <x:c r="F13" s="18"/>
      <x:c r="G13" s="18"/>
    </x:row>
    <x:row r="14" ht="32" customHeight="1">
      <x:c r="A14" s="11" t="str">
        <x:v>物品 ID</x:v>
      </x:c>
      <x:c r="B14" s="12" t="str">
        <x:v>物品</x:v>
      </x:c>
      <x:c r="C14" s="12" t="str">
        <x:v>初始数量</x:v>
      </x:c>
      <x:c r="D14" s="13" t="str">
        <x:v>补充时机</x:v>
      </x:c>
      <x:c r="E14" s="3"/>
      <x:c r="F14" s="3"/>
      <x:c r="G14" s="3"/>
    </x:row>
    <x:row r="15" ht="42" customHeight="1">
      <x:c r="A15" s="14" t="str">
        <x:v>ITEM_MED</x:v>
      </x:c>
      <x:c r="B15" s="14" t="str">
        <x:v>医疗包</x:v>
      </x:c>
      <x:c r="C15" s="17" t="n">
        <x:v>2</x:v>
      </x:c>
      <x:c r="D15" s="14" t="str">
        <x:v>仅新开局配置</x:v>
      </x:c>
      <x:c r="E15" s="3"/>
      <x:c r="F15" s="3"/>
      <x:c r="G15" s="3"/>
    </x:row>
    <x:row r="16" ht="42" customHeight="1">
      <x:c r="A16" s="14" t="str">
        <x:v>ITEM_MP</x:v>
      </x:c>
      <x:c r="B16" s="14" t="str">
        <x:v>凝神剂</x:v>
      </x:c>
      <x:c r="C16" s="17" t="n">
        <x:v>1</x:v>
      </x:c>
      <x:c r="D16" s="14" t="str">
        <x:v>仅新开局配置</x:v>
      </x:c>
      <x:c r="E16" s="3"/>
      <x:c r="F16" s="3"/>
      <x:c r="G16" s="3"/>
    </x:row>
    <x:row r="17" ht="42" customHeight="1">
      <x:c r="A17" s="14" t="str">
        <x:v>ITEM_CLEAN</x:v>
      </x:c>
      <x:c r="B17" s="14" t="str">
        <x:v>驱秽符</x:v>
      </x:c>
      <x:c r="C17" s="17" t="n">
        <x:v>1</x:v>
      </x:c>
      <x:c r="D17" s="14" t="str">
        <x:v>仅新开局配置</x:v>
      </x:c>
      <x:c r="E17" s="3"/>
      <x:c r="F17" s="3"/>
      <x:c r="G17" s="3"/>
    </x:row>
    <x:row r="18" ht="42" customHeight="1">
      <x:c r="A18" s="14" t="str">
        <x:v>ITEM_BLAST</x:v>
      </x:c>
      <x:c r="B18" s="14" t="str">
        <x:v>散灵符</x:v>
      </x:c>
      <x:c r="C18" s="17" t="n">
        <x:v>1</x:v>
      </x:c>
      <x:c r="D18" s="14" t="str">
        <x:v>仅新开局配置</x:v>
      </x:c>
      <x:c r="E18" s="3"/>
      <x:c r="F18" s="3"/>
      <x:c r="G18" s="3"/>
    </x:row>
    <x:row r="19" ht="25" customHeight="1">
      <x:c r="A19" s="3"/>
      <x:c r="B19" s="3"/>
      <x:c r="C19" s="3"/>
      <x:c r="D19" s="3"/>
      <x:c r="E19" s="3"/>
      <x:c r="F19" s="3"/>
      <x:c r="G19" s="3"/>
    </x:row>
    <x:row r="20" ht="25" customHeight="1">
      <x:c r="A20" s="3"/>
      <x:c r="B20" s="3"/>
      <x:c r="C20" s="3"/>
      <x:c r="D20" s="3"/>
      <x:c r="E20" s="3"/>
      <x:c r="F20" s="3"/>
      <x:c r="G20" s="3"/>
    </x:row>
    <x:row r="21" ht="25" customHeight="1">
      <x:c r="A21" s="6" t="str">
        <x:v>以上数量用于测试新局，正常存档以真实背包为准；每场战斗不会自动补充。</x:v>
      </x:c>
      <x:c r="B21" s="3"/>
      <x:c r="C21" s="3"/>
      <x:c r="D21" s="3"/>
      <x:c r="E21" s="3"/>
      <x:c r="F21" s="3"/>
      <x:c r="G21" s="3"/>
    </x:row>
    <x:row r="22" ht="25" customHeight="1">
      <x:c r="A22" s="6" t="str">
        <x:v>当前回合只有凝神剂可直接补 MP，它受有限物品数量约束。</x:v>
      </x:c>
      <x:c r="B22" s="3"/>
      <x:c r="C22" s="3"/>
      <x:c r="D22" s="3"/>
      <x:c r="E22" s="3"/>
      <x:c r="F22" s="3"/>
      <x:c r="G22" s="3"/>
    </x:row>
    <x:row r="23" ht="25" customHeight="1">
      <x:c r="A23" s="3"/>
      <x:c r="B23" s="3"/>
      <x:c r="C23" s="3"/>
      <x:c r="D23" s="3"/>
      <x:c r="E23" s="3"/>
      <x:c r="F23" s="3"/>
      <x:c r="G23" s="3"/>
    </x:row>
    <x:row r="24" ht="25" customHeight="1">
      <x:c r="A24" s="3"/>
      <x:c r="B24" s="3"/>
      <x:c r="C24" s="3"/>
      <x:c r="D24" s="3"/>
      <x:c r="E24" s="3"/>
      <x:c r="F24" s="3"/>
      <x:c r="G24" s="3"/>
    </x:row>
    <x:row r="25" ht="25" customHeight="1">
      <x:c r="A25" s="3"/>
      <x:c r="B25" s="3"/>
      <x:c r="C25" s="3"/>
      <x:c r="D25" s="3"/>
      <x:c r="E25" s="3"/>
      <x:c r="F25" s="3"/>
      <x:c r="G25" s="3"/>
    </x:row>
    <x:row r="26" ht="25" customHeight="1">
      <x:c r="A26" s="3"/>
      <x:c r="B26" s="3"/>
      <x:c r="C26" s="3"/>
      <x:c r="D26" s="3"/>
      <x:c r="E26" s="3"/>
      <x:c r="F26" s="3"/>
      <x:c r="G26" s="3"/>
    </x:row>
  </x:sheetData>
  <x:dataValidations count="2">
    <x:dataValidation type="whole" operator="between" sqref="C7:D10">
      <x:formula1>1</x:formula1>
      <x:formula2>999</x:formula2>
    </x:dataValidation>
    <x:dataValidation type="whole" operator="between" sqref="C15:C18">
      <x:formula1>0</x:formula1>
      <x:formula2>99</x:formula2>
    </x:dataValidation>
  </x:dataValidations>
  <x:pageMargins left="0.7" right="0.7" top="0.75" bottom="0.75" header="0.3" footer="0.3"/>
</x:worksheet>
</file>